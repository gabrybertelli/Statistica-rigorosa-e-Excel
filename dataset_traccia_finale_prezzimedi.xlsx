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2" documentId="13_ncr:1_{1A698E9C-FCEE-434D-B5ED-092F50373E6B}" xr6:coauthVersionLast="47" xr6:coauthVersionMax="47" xr10:uidLastSave="{6D824BCD-FBDF-4347-9238-DA40BE11A608}"/>
  <bookViews>
    <workbookView xWindow="-108" yWindow="-108" windowWidth="23256" windowHeight="13176" activeTab="1" xr2:uid="{00000000-000D-0000-FFFF-FFFF00000000}"/>
  </bookViews>
  <sheets>
    <sheet name="Strutture ricettive" sheetId="6" r:id="rId1"/>
    <sheet name="prezzi" sheetId="4" r:id="rId2"/>
  </sheets>
  <definedNames>
    <definedName name="DatiEsterni_2" localSheetId="0" hidden="1">'Strutture ricettive'!$A$1:$C$1197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9" i="4" l="1"/>
  <c r="F37" i="4"/>
  <c r="G37" i="4"/>
  <c r="G1" i="4"/>
  <c r="E2" i="6"/>
  <c r="F5" i="6" s="1"/>
  <c r="F6" i="6"/>
  <c r="F4" i="6"/>
  <c r="F7" i="6"/>
  <c r="F2" i="6"/>
  <c r="G26" i="4"/>
  <c r="G48" i="4" s="1"/>
  <c r="G47" i="4" s="1"/>
  <c r="I10" i="4"/>
  <c r="G23" i="4"/>
  <c r="G22" i="4"/>
  <c r="G21" i="4"/>
  <c r="G25" i="4" s="1"/>
  <c r="G6" i="4"/>
  <c r="G16" i="4"/>
  <c r="G15" i="4"/>
  <c r="G10" i="4"/>
  <c r="G14" i="4"/>
  <c r="G13" i="4"/>
  <c r="G12" i="4"/>
  <c r="G11" i="4"/>
  <c r="G5" i="4"/>
  <c r="F31" i="4" s="1"/>
  <c r="G4" i="4"/>
  <c r="G3" i="4"/>
  <c r="G2" i="4"/>
  <c r="G33" i="4" l="1"/>
  <c r="G31" i="4"/>
  <c r="F33" i="4"/>
  <c r="G17" i="4"/>
  <c r="F35" i="4"/>
  <c r="G46" i="4"/>
  <c r="G42" i="4"/>
  <c r="G43" i="4" s="1"/>
  <c r="F3" i="6"/>
  <c r="G24" i="4"/>
  <c r="D47" i="4" s="1"/>
  <c r="G35" i="4" l="1"/>
  <c r="D15" i="4"/>
  <c r="D23" i="4"/>
  <c r="D31" i="4"/>
  <c r="D39" i="4"/>
  <c r="D48" i="4"/>
  <c r="D56" i="4"/>
  <c r="D64" i="4"/>
  <c r="D72" i="4"/>
  <c r="D80" i="4"/>
  <c r="D88" i="4"/>
  <c r="D96" i="4"/>
  <c r="D104" i="4"/>
  <c r="D112" i="4"/>
  <c r="D120" i="4"/>
  <c r="D128" i="4"/>
  <c r="D136" i="4"/>
  <c r="D144" i="4"/>
  <c r="D152" i="4"/>
  <c r="D160" i="4"/>
  <c r="D168" i="4"/>
  <c r="D176" i="4"/>
  <c r="D184" i="4"/>
  <c r="D192" i="4"/>
  <c r="D200" i="4"/>
  <c r="D208" i="4"/>
  <c r="D216" i="4"/>
  <c r="D224" i="4"/>
  <c r="D232" i="4"/>
  <c r="D240" i="4"/>
  <c r="D8" i="4"/>
  <c r="D16" i="4"/>
  <c r="D24" i="4"/>
  <c r="D32" i="4"/>
  <c r="D40" i="4"/>
  <c r="D49" i="4"/>
  <c r="D57" i="4"/>
  <c r="D65" i="4"/>
  <c r="D73" i="4"/>
  <c r="D81" i="4"/>
  <c r="D89" i="4"/>
  <c r="D97" i="4"/>
  <c r="D105" i="4"/>
  <c r="D113" i="4"/>
  <c r="D121" i="4"/>
  <c r="D129" i="4"/>
  <c r="D137" i="4"/>
  <c r="D145" i="4"/>
  <c r="D153" i="4"/>
  <c r="D161" i="4"/>
  <c r="D169" i="4"/>
  <c r="D177" i="4"/>
  <c r="D185" i="4"/>
  <c r="D193" i="4"/>
  <c r="D201" i="4"/>
  <c r="D209" i="4"/>
  <c r="D217" i="4"/>
  <c r="D225" i="4"/>
  <c r="D233" i="4"/>
  <c r="D241" i="4"/>
  <c r="D210" i="4"/>
  <c r="D9" i="4"/>
  <c r="D10" i="4"/>
  <c r="D11" i="4"/>
  <c r="D13" i="4"/>
  <c r="D21" i="4"/>
  <c r="D29" i="4"/>
  <c r="D37" i="4"/>
  <c r="D45" i="4"/>
  <c r="D54" i="4"/>
  <c r="D62" i="4"/>
  <c r="D70" i="4"/>
  <c r="D78" i="4"/>
  <c r="D86" i="4"/>
  <c r="D94" i="4"/>
  <c r="D102" i="4"/>
  <c r="D110" i="4"/>
  <c r="D118" i="4"/>
  <c r="D126" i="4"/>
  <c r="D134" i="4"/>
  <c r="D142" i="4"/>
  <c r="D150" i="4"/>
  <c r="D158" i="4"/>
  <c r="D166" i="4"/>
  <c r="D174" i="4"/>
  <c r="D182" i="4"/>
  <c r="D190" i="4"/>
  <c r="D198" i="4"/>
  <c r="D206" i="4"/>
  <c r="D214" i="4"/>
  <c r="D222" i="4"/>
  <c r="D230" i="4"/>
  <c r="D238" i="4"/>
  <c r="D22" i="4"/>
  <c r="D30" i="4"/>
  <c r="D38" i="4"/>
  <c r="D46" i="4"/>
  <c r="D55" i="4"/>
  <c r="D63" i="4"/>
  <c r="D71" i="4"/>
  <c r="D79" i="4"/>
  <c r="D87" i="4"/>
  <c r="D95" i="4"/>
  <c r="D103" i="4"/>
  <c r="D111" i="4"/>
  <c r="D119" i="4"/>
  <c r="D127" i="4"/>
  <c r="D135" i="4"/>
  <c r="D143" i="4"/>
  <c r="D151" i="4"/>
  <c r="D159" i="4"/>
  <c r="D167" i="4"/>
  <c r="D175" i="4"/>
  <c r="D183" i="4"/>
  <c r="D191" i="4"/>
  <c r="D199" i="4"/>
  <c r="D207" i="4"/>
  <c r="D215" i="4"/>
  <c r="D223" i="4"/>
  <c r="D231" i="4"/>
  <c r="D239" i="4"/>
  <c r="D17" i="4"/>
  <c r="D25" i="4"/>
  <c r="D33" i="4"/>
  <c r="D41" i="4"/>
  <c r="D50" i="4"/>
  <c r="D58" i="4"/>
  <c r="D66" i="4"/>
  <c r="D74" i="4"/>
  <c r="D82" i="4"/>
  <c r="D90" i="4"/>
  <c r="D98" i="4"/>
  <c r="D106" i="4"/>
  <c r="D114" i="4"/>
  <c r="D122" i="4"/>
  <c r="D130" i="4"/>
  <c r="D138" i="4"/>
  <c r="D146" i="4"/>
  <c r="D154" i="4"/>
  <c r="D162" i="4"/>
  <c r="D170" i="4"/>
  <c r="D178" i="4"/>
  <c r="D186" i="4"/>
  <c r="D194" i="4"/>
  <c r="D202" i="4"/>
  <c r="D218" i="4"/>
  <c r="D226" i="4"/>
  <c r="D234" i="4"/>
  <c r="D14" i="4"/>
  <c r="D34" i="4"/>
  <c r="D53" i="4"/>
  <c r="D76" i="4"/>
  <c r="D99" i="4"/>
  <c r="D117" i="4"/>
  <c r="D140" i="4"/>
  <c r="D163" i="4"/>
  <c r="D181" i="4"/>
  <c r="D204" i="4"/>
  <c r="D227" i="4"/>
  <c r="D244" i="4"/>
  <c r="D195" i="4"/>
  <c r="D26" i="4"/>
  <c r="D173" i="4"/>
  <c r="D51" i="4"/>
  <c r="D197" i="4"/>
  <c r="D93" i="4"/>
  <c r="D180" i="4"/>
  <c r="D243" i="4"/>
  <c r="D12" i="4"/>
  <c r="D35" i="4"/>
  <c r="D59" i="4"/>
  <c r="D77" i="4"/>
  <c r="D100" i="4"/>
  <c r="D123" i="4"/>
  <c r="D141" i="4"/>
  <c r="D164" i="4"/>
  <c r="D187" i="4"/>
  <c r="D205" i="4"/>
  <c r="D228" i="4"/>
  <c r="D245" i="4"/>
  <c r="D236" i="4"/>
  <c r="D91" i="4"/>
  <c r="D196" i="4"/>
  <c r="D115" i="4"/>
  <c r="D242" i="4"/>
  <c r="D116" i="4"/>
  <c r="D221" i="4"/>
  <c r="D18" i="4"/>
  <c r="D36" i="4"/>
  <c r="D60" i="4"/>
  <c r="D83" i="4"/>
  <c r="D101" i="4"/>
  <c r="D124" i="4"/>
  <c r="D147" i="4"/>
  <c r="D165" i="4"/>
  <c r="D188" i="4"/>
  <c r="D211" i="4"/>
  <c r="D229" i="4"/>
  <c r="D149" i="4"/>
  <c r="D68" i="4"/>
  <c r="D132" i="4"/>
  <c r="D237" i="4"/>
  <c r="D92" i="4"/>
  <c r="D179" i="4"/>
  <c r="D28" i="4"/>
  <c r="D157" i="4"/>
  <c r="D19" i="4"/>
  <c r="D42" i="4"/>
  <c r="D61" i="4"/>
  <c r="D84" i="4"/>
  <c r="D107" i="4"/>
  <c r="D125" i="4"/>
  <c r="D148" i="4"/>
  <c r="D171" i="4"/>
  <c r="D189" i="4"/>
  <c r="D212" i="4"/>
  <c r="D235" i="4"/>
  <c r="D172" i="4"/>
  <c r="D44" i="4"/>
  <c r="D155" i="4"/>
  <c r="D69" i="4"/>
  <c r="D156" i="4"/>
  <c r="D52" i="4"/>
  <c r="D139" i="4"/>
  <c r="D20" i="4"/>
  <c r="D43" i="4"/>
  <c r="D67" i="4"/>
  <c r="D85" i="4"/>
  <c r="D108" i="4"/>
  <c r="D131" i="4"/>
  <c r="D213" i="4"/>
  <c r="D109" i="4"/>
  <c r="D219" i="4"/>
  <c r="D133" i="4"/>
  <c r="D75" i="4"/>
  <c r="D203" i="4"/>
  <c r="D27" i="4"/>
  <c r="D22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6C6A65-81CD-4001-93DD-EEE16EC72C75}" keepAlive="1" name="Query - Prezzi" description="Connessione alla query 'Prezzi' nella cartella di lavoro." type="5" refreshedVersion="0" background="1" saveData="1">
    <dbPr connection="Provider=Microsoft.Mashup.OleDb.1;Data Source=$Workbook$;Location=Prezzi;Extended Properties=&quot;&quot;" command="SELECT * FROM [Prezzi]"/>
  </connection>
  <connection id="2" xr16:uid="{BA5258EE-7E5A-4D93-9204-31E28A018BBA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</connections>
</file>

<file path=xl/sharedStrings.xml><?xml version="1.0" encoding="utf-8"?>
<sst xmlns="http://schemas.openxmlformats.org/spreadsheetml/2006/main" count="2689" uniqueCount="307">
  <si>
    <t>ACQUALAGNA</t>
  </si>
  <si>
    <t>APECCHIO</t>
  </si>
  <si>
    <t>AUDITORE</t>
  </si>
  <si>
    <t>BARCHI</t>
  </si>
  <si>
    <t>BELFORTE ALL'ISAURO</t>
  </si>
  <si>
    <t>BORGO PACE</t>
  </si>
  <si>
    <t>CAGLI</t>
  </si>
  <si>
    <t>FRONTONE</t>
  </si>
  <si>
    <t>CANTIANO</t>
  </si>
  <si>
    <t>CARPEGNA</t>
  </si>
  <si>
    <t>CARTOCETO</t>
  </si>
  <si>
    <t>FANO</t>
  </si>
  <si>
    <t>MONDOLFO</t>
  </si>
  <si>
    <t>FERMIGNANO</t>
  </si>
  <si>
    <t>FOSSOMBRONE</t>
  </si>
  <si>
    <t>FRATTE ROSA</t>
  </si>
  <si>
    <t>FRONTINO</t>
  </si>
  <si>
    <t>ANCONA</t>
  </si>
  <si>
    <t>GABICCE MARE</t>
  </si>
  <si>
    <t>PESARO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</si>
  <si>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</si>
  <si>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</si>
  <si>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</si>
  <si>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</si>
  <si>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</si>
  <si>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</si>
  <si>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</si>
  <si>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</si>
  <si>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MONTECALVO IN FOGLIA</t>
  </si>
  <si>
    <t>MONTE CERIGNONE</t>
  </si>
  <si>
    <t>MONTECICCARDO</t>
  </si>
  <si>
    <t>MONTECOPIOLO</t>
  </si>
  <si>
    <t>MONTEFELCINO</t>
  </si>
  <si>
    <t>MONTE GRIMANO TERME</t>
  </si>
  <si>
    <t>MONTELABBATE</t>
  </si>
  <si>
    <t>MONTEMAGGIORE AL METAURO</t>
  </si>
  <si>
    <t>MONTE PORZIO</t>
  </si>
  <si>
    <t>ORCIANO DI PESARO</t>
  </si>
  <si>
    <t>PEGLIO</t>
  </si>
  <si>
    <t>PERGOLA</t>
  </si>
  <si>
    <t>PETRIANO</t>
  </si>
  <si>
    <t>PIAGGE</t>
  </si>
  <si>
    <t>PIANDIMELETO</t>
  </si>
  <si>
    <t>PIETRARUBBIA</t>
  </si>
  <si>
    <t>PIOBBICO</t>
  </si>
  <si>
    <t>SALTARA</t>
  </si>
  <si>
    <t>SAN COSTANZO</t>
  </si>
  <si>
    <t>SAN GIORGIO DI PESARO</t>
  </si>
  <si>
    <t>SAN LORENZO IN CAMPO</t>
  </si>
  <si>
    <t>SANT'ANGELO IN VADO</t>
  </si>
  <si>
    <t>SANT'IPPOLITO</t>
  </si>
  <si>
    <t>SASSOCORVARO</t>
  </si>
  <si>
    <t>SASSOFELTRIO</t>
  </si>
  <si>
    <t>SERRA SANT'ABBONDIO</t>
  </si>
  <si>
    <t>SERRUNGARINA</t>
  </si>
  <si>
    <t>TAVOLETO</t>
  </si>
  <si>
    <t>TAVULLIA</t>
  </si>
  <si>
    <t>URBANIA</t>
  </si>
  <si>
    <t>URBINO</t>
  </si>
  <si>
    <t>VALLEFOGLIA</t>
  </si>
  <si>
    <t>AGUGLIANO</t>
  </si>
  <si>
    <t>MASSIGNANO</t>
  </si>
  <si>
    <t>FALCONARA MARITTIMA</t>
  </si>
  <si>
    <t>ARCEVIA</t>
  </si>
  <si>
    <t>SAN GINESIO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</si>
  <si>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</si>
  <si>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</si>
  <si>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</si>
  <si>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</si>
  <si>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</si>
  <si>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</si>
  <si>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</si>
  <si>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</si>
  <si>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</si>
  <si>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</si>
  <si>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</si>
  <si>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</si>
  <si>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</si>
  <si>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</si>
  <si>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</si>
  <si>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</si>
  <si>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</si>
  <si>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</si>
  <si>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</si>
  <si>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</si>
  <si>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</si>
  <si>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</si>
  <si>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</si>
  <si>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</si>
  <si>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</si>
  <si>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</si>
  <si>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</si>
  <si>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</si>
  <si>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</si>
  <si>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</si>
  <si>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</si>
  <si>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</si>
  <si>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</si>
  <si>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</si>
  <si>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</si>
  <si>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</si>
  <si>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</si>
  <si>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</si>
  <si>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</si>
  <si>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</si>
  <si>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</si>
  <si>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</si>
  <si>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</si>
  <si>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</si>
  <si>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</si>
  <si>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</si>
  <si>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</si>
  <si>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</si>
  <si>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</si>
  <si>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</si>
  <si>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</si>
  <si>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</si>
  <si>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</si>
  <si>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</si>
  <si>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</si>
  <si>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</si>
  <si>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</si>
  <si>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</si>
  <si>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FIORDIMONTE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</si>
  <si>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</si>
  <si>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</si>
  <si>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</si>
  <si>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</si>
  <si>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</si>
  <si>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</si>
  <si>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</si>
  <si>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</si>
  <si>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</si>
  <si>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</si>
  <si>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</si>
  <si>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</si>
  <si>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</si>
  <si>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</si>
  <si>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</si>
  <si>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</si>
  <si>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</si>
  <si>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</si>
  <si>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PIEVEBOVIGLIANA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</si>
  <si>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</si>
  <si>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</si>
  <si>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</si>
  <si>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</si>
  <si>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</si>
  <si>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</si>
  <si>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</si>
  <si>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</si>
  <si>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</si>
  <si>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</si>
  <si>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</si>
  <si>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</si>
  <si>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</si>
  <si>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</si>
  <si>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</si>
  <si>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</si>
  <si>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</si>
  <si>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</si>
  <si>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</si>
  <si>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</si>
  <si>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</si>
  <si>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</si>
  <si>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</si>
  <si>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</si>
  <si>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</si>
  <si>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</si>
  <si>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</si>
  <si>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</si>
  <si>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</si>
  <si>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</si>
  <si>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</si>
  <si>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</si>
  <si>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</si>
  <si>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</si>
  <si>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</si>
  <si>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SAN BENEDETTO DEL TRONTO</t>
  </si>
  <si>
    <t>MALTIGNANO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</si>
  <si>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</si>
  <si>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</si>
  <si>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</si>
  <si>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</si>
  <si>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</si>
  <si>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</si>
  <si>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</si>
  <si>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</si>
  <si>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</si>
  <si>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</si>
  <si>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</si>
  <si>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</si>
  <si>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SPINETOLI</t>
  </si>
  <si>
    <t>VENAROTTA</t>
  </si>
  <si>
    <t>ALTIDONA</t>
  </si>
  <si>
    <t>AMANDOLA</t>
  </si>
  <si>
    <t>BELMONTE PICENO</t>
  </si>
  <si>
    <t>CAMPOFILONE</t>
  </si>
  <si>
    <t>FALERONE</t>
  </si>
  <si>
    <t>FERMO</t>
  </si>
  <si>
    <t>PORTO SAN GIORGIO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</si>
  <si>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</si>
  <si>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</si>
  <si>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</si>
  <si>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</si>
  <si>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</si>
  <si>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</si>
  <si>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</si>
  <si>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</si>
  <si>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</si>
  <si>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</si>
  <si>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</si>
  <si>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</si>
  <si>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</si>
  <si>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</si>
  <si>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</si>
  <si>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</si>
  <si>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</si>
  <si>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</si>
  <si>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</si>
  <si>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</si>
  <si>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</si>
  <si>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</si>
  <si>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</si>
  <si>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</si>
  <si>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</si>
  <si>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</si>
  <si>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</si>
  <si>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</si>
  <si>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</si>
  <si>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</si>
  <si>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</si>
  <si>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</si>
  <si>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</si>
  <si>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PREZZO MEDIO</t>
  </si>
  <si>
    <t>CITTA'</t>
  </si>
  <si>
    <t>xxx</t>
  </si>
  <si>
    <t>Colonna1</t>
  </si>
  <si>
    <t>Colonna2</t>
  </si>
  <si>
    <t>Colonna3</t>
  </si>
  <si>
    <t>Categoria</t>
  </si>
  <si>
    <t>Città</t>
  </si>
  <si>
    <t>TURISMO RURALE</t>
  </si>
  <si>
    <t>ALTRI ALLOGGI PRIVATI</t>
  </si>
  <si>
    <t>ALBERGHI</t>
  </si>
  <si>
    <t>BED &amp; BREAKFAST</t>
  </si>
  <si>
    <t>ALLOGGI AGRITURISTICI</t>
  </si>
  <si>
    <t>ALLOGGI IN AFFITTO</t>
  </si>
  <si>
    <t>AREE DI SOSTA (PLEIN AIR)</t>
  </si>
  <si>
    <t>OSTELLI PER LA GIOVENTU'</t>
  </si>
  <si>
    <t>CASE PER FERIE</t>
  </si>
  <si>
    <t>RIFUGI</t>
  </si>
  <si>
    <t>RESIDENZE TURISTICO ALBERGHIERE</t>
  </si>
  <si>
    <t>CAMPEGGI</t>
  </si>
  <si>
    <t>STABILIMENTI BALNEARI</t>
  </si>
  <si>
    <t>ALTRI ESERCIZI RICETTIVI</t>
  </si>
  <si>
    <t>VILLAGGI TURISTICI</t>
  </si>
  <si>
    <t>MEDIA</t>
  </si>
  <si>
    <t>MEDIANA</t>
  </si>
  <si>
    <t>MODA</t>
  </si>
  <si>
    <t>VARIANZA</t>
  </si>
  <si>
    <t>DEV.ST</t>
  </si>
  <si>
    <t>IQR</t>
  </si>
  <si>
    <t>la distribuzione in questo caso è simmetrica in quanto la media e la mediana coincidono</t>
  </si>
  <si>
    <t>Conteggio</t>
  </si>
  <si>
    <t>0-20</t>
  </si>
  <si>
    <t>20-40</t>
  </si>
  <si>
    <t>40-60</t>
  </si>
  <si>
    <t>60-80</t>
  </si>
  <si>
    <t>80-100</t>
  </si>
  <si>
    <t>100-120</t>
  </si>
  <si>
    <t>120-140</t>
  </si>
  <si>
    <t>V.MAX=</t>
  </si>
  <si>
    <t xml:space="preserve">40-60, 100-120 </t>
  </si>
  <si>
    <t>Classe Modale:</t>
  </si>
  <si>
    <t>Classi Modali</t>
  </si>
  <si>
    <t xml:space="preserve"> Frequenza</t>
  </si>
  <si>
    <t>Q1</t>
  </si>
  <si>
    <t>Q3</t>
  </si>
  <si>
    <t>Limite Inferiore</t>
  </si>
  <si>
    <t>Limite Superiore</t>
  </si>
  <si>
    <t>Outlier</t>
  </si>
  <si>
    <t>Non essendoci outlier, la deviazione standard ricalcolata rimane invariata.</t>
  </si>
  <si>
    <t>N° ALBERGHI</t>
  </si>
  <si>
    <t>p.B&amp;B</t>
  </si>
  <si>
    <t>P.2Alberghi</t>
  </si>
  <si>
    <t>P. 2B&amp;B</t>
  </si>
  <si>
    <t>P. alberghi</t>
  </si>
  <si>
    <t>SOMMA STRUTTURE</t>
  </si>
  <si>
    <t>N° BED &amp; BREAKFAST</t>
  </si>
  <si>
    <t>Limite Superiore +1</t>
  </si>
  <si>
    <t>Limite Inferiore -1</t>
  </si>
  <si>
    <t>Limite Inferiore -2</t>
  </si>
  <si>
    <t>Limite Superiore +2</t>
  </si>
  <si>
    <t>% entro +-1 DS</t>
  </si>
  <si>
    <t>% entro +-2DS</t>
  </si>
  <si>
    <t>Intervallo  +-2DS</t>
  </si>
  <si>
    <t>Intrervallo  +-1DS</t>
  </si>
  <si>
    <t>I risultati differiscono dalla regola teorica 68%-95%, quindi i prezzi non seguono perfettamente una distribuzione normale.</t>
  </si>
  <si>
    <t>Z score</t>
  </si>
  <si>
    <t>P</t>
  </si>
  <si>
    <t>La probabilità di osservare un prezzo inferiore a 31 € è circa del 6%.</t>
  </si>
  <si>
    <t>media del campione;</t>
  </si>
  <si>
    <t>interpretazione.</t>
  </si>
  <si>
    <t>intervallo di confidenza al 95%</t>
  </si>
  <si>
    <t>numero Città</t>
  </si>
  <si>
    <t>Con un livello di confidenza del 95%, il prezzo medio della popolazione è compresa tra 69,95€ e 77,05€.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</si>
</sst>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9" formatCode="0.0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 applyBorder="1"/>
    <xf numFmtId="0" fontId="1" fillId="0" borderId="0" xfId="0" applyFont="1" applyFill="1" applyBorder="1"/>
    <xf numFmtId="0" fontId="1" fillId="0" borderId="1" xfId="0" applyFont="1" applyBorder="1"/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  <xf numFmtId="0" fontId="1" fillId="0" borderId="1" xfId="0" applyFont="1" applyFill="1" applyBorder="1"/>
    <xf numFmtId="0" fontId="0" fillId="0" borderId="0" xfId="0" applyAlignment="1">
      <alignment horizontal="left"/>
    </xf>
    <xf numFmtId="0" fontId="1" fillId="0" borderId="0" xfId="0" applyFont="1"/>
    <xf numFmtId="164" fontId="0" fillId="0" borderId="0" xfId="0" applyNumberFormat="1" applyAlignment="1">
      <alignment horizontal="left"/>
    </xf>
    <xf numFmtId="4" fontId="0" fillId="0" borderId="1" xfId="0" applyNumberFormat="1" applyFont="1" applyBorder="1" applyAlignment="1">
      <alignment horizontal="left"/>
    </xf>
    <xf numFmtId="16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4" fontId="0" fillId="0" borderId="0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169" fontId="0" fillId="0" borderId="1" xfId="0" applyNumberForma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0" fontId="0" fillId="0" borderId="1" xfId="1" applyNumberFormat="1" applyFont="1" applyBorder="1" applyAlignment="1">
      <alignment horizontal="left"/>
    </xf>
    <xf numFmtId="10" fontId="0" fillId="0" borderId="1" xfId="0" applyNumberFormat="1" applyBorder="1" applyAlignment="1">
      <alignment horizontal="left"/>
    </xf>
    <xf numFmtId="8" fontId="1" fillId="0" borderId="1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1" fillId="0" borderId="4" xfId="0" applyFont="1" applyBorder="1"/>
    <xf numFmtId="0" fontId="1" fillId="0" borderId="0" xfId="0" applyFont="1" applyBorder="1"/>
    <xf numFmtId="0" fontId="0" fillId="0" borderId="4" xfId="0" applyFont="1" applyBorder="1" applyAlignment="1">
      <alignment horizontal="left"/>
    </xf>
    <xf numFmtId="4" fontId="0" fillId="0" borderId="3" xfId="0" applyNumberFormat="1" applyFont="1" applyBorder="1" applyAlignment="1">
      <alignment horizontal="left"/>
    </xf>
    <xf numFmtId="0" fontId="1" fillId="0" borderId="2" xfId="0" applyFont="1" applyBorder="1"/>
  </cellXfs>
  <cellStyles count="2">
    <cellStyle name="Normale" xfId="0" builtinId="0"/>
    <cellStyle name="Percentuale" xfId="1" builtinId="5"/>
  </cellStyles>
  <dxfs count="5">
    <dxf>
      <numFmt numFmtId="0" formatCode="General"/>
    </dxf>
    <dxf>
      <numFmt numFmtId="164" formatCode="#,##0.00\ &quot;€&quot;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78791529-44D6-46D4-A4B7-A6DFAE8BFB25}" autoFormatId="16" applyNumberFormats="0" applyBorderFormats="0" applyFontFormats="0" applyPatternFormats="0" applyAlignmentFormats="0" applyWidthHeightFormats="0">
  <queryTableRefresh nextId="10">
    <queryTableFields count="3">
      <queryTableField id="4" name="Città" tableColumnId="4"/>
      <queryTableField id="1" name="Categoria" tableColumnId="1"/>
      <queryTableField id="8" name="Conteggi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0BCBB9-EC5A-4D26-A017-1A0FEA4570B2}" name="Strutture_ricettive" displayName="Strutture_ricettive" ref="A1:C1197" tableType="queryTable" totalsRowShown="0">
  <autoFilter ref="A1:C1197" xr:uid="{3F0BCBB9-EC5A-4D26-A017-1A0FEA4570B2}"/>
  <tableColumns count="3">
    <tableColumn id="4" xr3:uid="{A821991B-AF61-41B5-995B-D49905F0DC7C}" uniqueName="4" name="Città" queryTableFieldId="4" dataDxfId="4"/>
    <tableColumn id="1" xr3:uid="{F23B610F-682F-480F-9E84-15986DF71E83}" uniqueName="1" name="Categoria" queryTableFieldId="1" dataDxfId="3"/>
    <tableColumn id="8" xr3:uid="{28D2B07A-6796-490C-9DD7-372BD4203DDC}" uniqueName="8" name="Conteggio" queryTableFieldId="8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D12512-C085-4861-ADCC-087C6FD0B9D3}" name="Tabella1" displayName="Tabella1" ref="A1:D245" totalsRowShown="0">
  <autoFilter ref="A1:D245" xr:uid="{D0D12512-C085-4861-ADCC-087C6FD0B9D3}"/>
  <tableColumns count="4">
    <tableColumn id="1" xr3:uid="{A14A7D05-9373-4EAC-8D89-EABE0DBFA59F}" name="Colonna1"/>
    <tableColumn id="2" xr3:uid="{A246957C-0984-44D9-853D-6D70CD6241B1}" name="Colonna2"/>
    <tableColumn id="3" xr3:uid="{EE4F06DB-018B-4F31-BBDE-FA5A8FF09BE9}" name="Colonna3" dataDxfId="1"/>
    <tableColumn id="4" xr3:uid="{A77172E0-20E8-489F-B343-8CD63190451A}" name="Outlier" dataDxfId="0">
      <calculatedColumnFormula>IF(OR(C2&lt;$G$24,C2&gt;$G$25),"Outlier","Normale")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58CA-4083-4D77-8E9C-FD331BEA85A9}">
  <dimension ref="A1:F1197"/>
  <sheetViews>
    <sheetView workbookViewId="0">
      <selection activeCell="F7" sqref="F7"/>
    </sheetView>
  </sheetViews>
  <sheetFormatPr defaultRowHeight="14.4" x14ac:dyDescent="0.3"/>
  <cols>
    <col min="1" max="1" width="28.44140625" bestFit="1" customWidth="1"/>
    <col min="2" max="2" width="31.6640625" bestFit="1" customWidth="1"/>
    <col min="3" max="3" width="11.77734375" style="10" bestFit="1" customWidth="1"/>
    <col min="4" max="4" width="11" customWidth="1"/>
    <col min="5" max="5" width="19.109375" customWidth="1"/>
    <col min="6" max="6" width="19.88671875" customWidth="1"/>
    <col min="7" max="7" width="60.21875" bestFit="1" customWidth="1"/>
    <col min="8" max="8" width="50.6640625" bestFit="1" customWidth="1"/>
  </cols>
  <sheetData>
    <row r="1" spans="1:6" x14ac:dyDescent="0.3">
      <c r="A1" t="s">
        <v>241</v>
      </c>
      <c r="B1" t="s">
        <v>240</v>
      </c>
      <c r="C1" s="10" t="s">
        <v>264</v>
      </c>
      <c r="E1" s="5" t="s">
        <v>283</v>
      </c>
      <c r="F1" s="5" t="s">
        <v>289</v>
      </c>
    </row>
    <row r="2" spans="1:6" x14ac:dyDescent="0.3">
      <c r="A2" s="2" t="s">
        <v>58</v>
      </c>
      <c r="B2" s="2" t="s">
        <v>242</v>
      </c>
      <c r="C2" s="10">
        <v>16</v>
      </c>
      <c r="E2" s="7">
        <f>COUNTIF(Strutture_ricettive[Categoria],"ALBERGHI")</f>
        <v>154</v>
      </c>
      <c r="F2" s="7">
        <f>COUNTIF(Strutture_ricettive[Categoria],"BED &amp; BREAKFAST")</f>
        <v>211</v>
      </c>
    </row>
    <row r="3" spans="1:6" x14ac:dyDescent="0.3">
      <c r="A3" s="2" t="s">
        <v>0</v>
      </c>
      <c r="B3" s="2" t="s">
        <v>243</v>
      </c>
      <c r="C3" s="10">
        <v>9</v>
      </c>
      <c r="E3" s="5" t="s">
        <v>287</v>
      </c>
      <c r="F3" s="18">
        <f>E2/F7</f>
        <v>2.4608501118568233E-2</v>
      </c>
    </row>
    <row r="4" spans="1:6" x14ac:dyDescent="0.3">
      <c r="A4" s="2" t="s">
        <v>0</v>
      </c>
      <c r="B4" s="2" t="s">
        <v>244</v>
      </c>
      <c r="C4" s="10">
        <v>6</v>
      </c>
      <c r="E4" s="5" t="s">
        <v>284</v>
      </c>
      <c r="F4" s="18">
        <f>F2/F7</f>
        <v>3.3716842441674659E-2</v>
      </c>
    </row>
    <row r="5" spans="1:6" x14ac:dyDescent="0.3">
      <c r="A5" s="2" t="s">
        <v>0</v>
      </c>
      <c r="B5" s="2" t="s">
        <v>245</v>
      </c>
      <c r="C5" s="10">
        <v>3</v>
      </c>
      <c r="E5" s="9" t="s">
        <v>285</v>
      </c>
      <c r="F5" s="18">
        <f>(E2/F7)^2</f>
        <v>6.0557832730257399E-4</v>
      </c>
    </row>
    <row r="6" spans="1:6" x14ac:dyDescent="0.3">
      <c r="A6" s="2" t="s">
        <v>0</v>
      </c>
      <c r="B6" s="2" t="s">
        <v>246</v>
      </c>
      <c r="C6" s="10">
        <v>4</v>
      </c>
      <c r="E6" s="9" t="s">
        <v>286</v>
      </c>
      <c r="F6" s="18">
        <f>(F2/F7)^2</f>
        <v>1.1368254642367137E-3</v>
      </c>
    </row>
    <row r="7" spans="1:6" x14ac:dyDescent="0.3">
      <c r="A7" s="2" t="s">
        <v>0</v>
      </c>
      <c r="B7" s="2" t="s">
        <v>242</v>
      </c>
      <c r="C7" s="10">
        <v>1</v>
      </c>
      <c r="E7" s="9" t="s">
        <v>288</v>
      </c>
      <c r="F7" s="17">
        <f>SUM(Strutture_ricettive[Conteggio])</f>
        <v>6258</v>
      </c>
    </row>
    <row r="8" spans="1:6" x14ac:dyDescent="0.3">
      <c r="A8" s="2" t="s">
        <v>0</v>
      </c>
      <c r="B8" s="2" t="s">
        <v>247</v>
      </c>
      <c r="C8" s="10">
        <v>1</v>
      </c>
    </row>
    <row r="9" spans="1:6" x14ac:dyDescent="0.3">
      <c r="A9" s="2" t="s">
        <v>0</v>
      </c>
      <c r="B9" s="2" t="s">
        <v>248</v>
      </c>
      <c r="C9" s="10">
        <v>1</v>
      </c>
    </row>
    <row r="10" spans="1:6" x14ac:dyDescent="0.3">
      <c r="A10" s="2" t="s">
        <v>1</v>
      </c>
      <c r="B10" s="2" t="s">
        <v>245</v>
      </c>
      <c r="C10" s="10">
        <v>4</v>
      </c>
    </row>
    <row r="11" spans="1:6" x14ac:dyDescent="0.3">
      <c r="A11" s="2" t="s">
        <v>1</v>
      </c>
      <c r="B11" s="2" t="s">
        <v>244</v>
      </c>
      <c r="C11" s="10">
        <v>2</v>
      </c>
    </row>
    <row r="12" spans="1:6" x14ac:dyDescent="0.3">
      <c r="A12" s="2" t="s">
        <v>1</v>
      </c>
      <c r="B12" s="2" t="s">
        <v>246</v>
      </c>
      <c r="C12" s="10">
        <v>12</v>
      </c>
    </row>
    <row r="13" spans="1:6" x14ac:dyDescent="0.3">
      <c r="A13" s="2" t="s">
        <v>1</v>
      </c>
      <c r="B13" s="2" t="s">
        <v>242</v>
      </c>
      <c r="C13" s="10">
        <v>6</v>
      </c>
    </row>
    <row r="14" spans="1:6" x14ac:dyDescent="0.3">
      <c r="A14" s="2" t="s">
        <v>1</v>
      </c>
      <c r="B14" s="2" t="s">
        <v>248</v>
      </c>
      <c r="C14" s="10">
        <v>1</v>
      </c>
    </row>
    <row r="15" spans="1:6" x14ac:dyDescent="0.3">
      <c r="A15" s="2" t="s">
        <v>1</v>
      </c>
      <c r="B15" s="2" t="s">
        <v>247</v>
      </c>
      <c r="C15" s="10">
        <v>4</v>
      </c>
    </row>
    <row r="16" spans="1:6" x14ac:dyDescent="0.3">
      <c r="A16" s="2" t="s">
        <v>1</v>
      </c>
      <c r="B16" s="2" t="s">
        <v>249</v>
      </c>
      <c r="C16" s="10">
        <v>1</v>
      </c>
    </row>
    <row r="17" spans="1:3" x14ac:dyDescent="0.3">
      <c r="A17" s="2" t="s">
        <v>1</v>
      </c>
      <c r="B17" s="2" t="s">
        <v>250</v>
      </c>
      <c r="C17" s="10">
        <v>1</v>
      </c>
    </row>
    <row r="18" spans="1:3" x14ac:dyDescent="0.3">
      <c r="A18" s="2" t="s">
        <v>2</v>
      </c>
      <c r="B18" s="2" t="s">
        <v>247</v>
      </c>
      <c r="C18" s="10">
        <v>2</v>
      </c>
    </row>
    <row r="19" spans="1:3" x14ac:dyDescent="0.3">
      <c r="A19" s="2" t="s">
        <v>2</v>
      </c>
      <c r="B19" s="2" t="s">
        <v>245</v>
      </c>
      <c r="C19" s="10">
        <v>2</v>
      </c>
    </row>
    <row r="20" spans="1:3" x14ac:dyDescent="0.3">
      <c r="A20" s="2" t="s">
        <v>2</v>
      </c>
      <c r="B20" s="2" t="s">
        <v>244</v>
      </c>
      <c r="C20" s="10">
        <v>2</v>
      </c>
    </row>
    <row r="21" spans="1:3" x14ac:dyDescent="0.3">
      <c r="A21" s="2" t="s">
        <v>2</v>
      </c>
      <c r="B21" s="2" t="s">
        <v>242</v>
      </c>
      <c r="C21" s="10">
        <v>1</v>
      </c>
    </row>
    <row r="22" spans="1:3" x14ac:dyDescent="0.3">
      <c r="A22" s="2" t="s">
        <v>3</v>
      </c>
      <c r="B22" s="2" t="s">
        <v>243</v>
      </c>
      <c r="C22" s="10">
        <v>2</v>
      </c>
    </row>
    <row r="23" spans="1:3" x14ac:dyDescent="0.3">
      <c r="A23" s="2" t="s">
        <v>3</v>
      </c>
      <c r="B23" s="2" t="s">
        <v>247</v>
      </c>
      <c r="C23" s="10">
        <v>2</v>
      </c>
    </row>
    <row r="24" spans="1:3" x14ac:dyDescent="0.3">
      <c r="A24" s="2" t="s">
        <v>3</v>
      </c>
      <c r="B24" s="2" t="s">
        <v>246</v>
      </c>
      <c r="C24" s="10">
        <v>2</v>
      </c>
    </row>
    <row r="25" spans="1:3" x14ac:dyDescent="0.3">
      <c r="A25" s="2" t="s">
        <v>3</v>
      </c>
      <c r="B25" s="2" t="s">
        <v>242</v>
      </c>
      <c r="C25" s="10">
        <v>1</v>
      </c>
    </row>
    <row r="26" spans="1:3" x14ac:dyDescent="0.3">
      <c r="A26" s="2" t="s">
        <v>3</v>
      </c>
      <c r="B26" s="2" t="s">
        <v>248</v>
      </c>
      <c r="C26" s="10">
        <v>1</v>
      </c>
    </row>
    <row r="27" spans="1:3" x14ac:dyDescent="0.3">
      <c r="A27" s="2" t="s">
        <v>4</v>
      </c>
      <c r="B27" s="2" t="s">
        <v>246</v>
      </c>
      <c r="C27" s="10">
        <v>1</v>
      </c>
    </row>
    <row r="28" spans="1:3" x14ac:dyDescent="0.3">
      <c r="A28" s="2" t="s">
        <v>4</v>
      </c>
      <c r="B28" s="2" t="s">
        <v>243</v>
      </c>
      <c r="C28" s="10">
        <v>2</v>
      </c>
    </row>
    <row r="29" spans="1:3" x14ac:dyDescent="0.3">
      <c r="A29" s="2" t="s">
        <v>5</v>
      </c>
      <c r="B29" s="2" t="s">
        <v>244</v>
      </c>
      <c r="C29" s="10">
        <v>3</v>
      </c>
    </row>
    <row r="30" spans="1:3" x14ac:dyDescent="0.3">
      <c r="A30" s="2" t="s">
        <v>5</v>
      </c>
      <c r="B30" s="2" t="s">
        <v>245</v>
      </c>
      <c r="C30" s="10">
        <v>3</v>
      </c>
    </row>
    <row r="31" spans="1:3" x14ac:dyDescent="0.3">
      <c r="A31" s="2" t="s">
        <v>5</v>
      </c>
      <c r="B31" s="2" t="s">
        <v>246</v>
      </c>
      <c r="C31" s="10">
        <v>5</v>
      </c>
    </row>
    <row r="32" spans="1:3" x14ac:dyDescent="0.3">
      <c r="A32" s="2" t="s">
        <v>5</v>
      </c>
      <c r="B32" s="2" t="s">
        <v>247</v>
      </c>
      <c r="C32" s="10">
        <v>1</v>
      </c>
    </row>
    <row r="33" spans="1:3" x14ac:dyDescent="0.3">
      <c r="A33" s="2" t="s">
        <v>5</v>
      </c>
      <c r="B33" s="2" t="s">
        <v>248</v>
      </c>
      <c r="C33" s="10">
        <v>1</v>
      </c>
    </row>
    <row r="34" spans="1:3" x14ac:dyDescent="0.3">
      <c r="A34" s="2" t="s">
        <v>5</v>
      </c>
      <c r="B34" s="2" t="s">
        <v>251</v>
      </c>
      <c r="C34" s="10">
        <v>1</v>
      </c>
    </row>
    <row r="35" spans="1:3" x14ac:dyDescent="0.3">
      <c r="A35" s="2" t="s">
        <v>5</v>
      </c>
      <c r="B35" s="2" t="s">
        <v>249</v>
      </c>
      <c r="C35" s="10">
        <v>1</v>
      </c>
    </row>
    <row r="36" spans="1:3" x14ac:dyDescent="0.3">
      <c r="A36" s="2" t="s">
        <v>6</v>
      </c>
      <c r="B36" s="2" t="s">
        <v>243</v>
      </c>
      <c r="C36" s="10">
        <v>12</v>
      </c>
    </row>
    <row r="37" spans="1:3" x14ac:dyDescent="0.3">
      <c r="A37" s="2" t="s">
        <v>6</v>
      </c>
      <c r="B37" s="2" t="s">
        <v>245</v>
      </c>
      <c r="C37" s="10">
        <v>13</v>
      </c>
    </row>
    <row r="38" spans="1:3" x14ac:dyDescent="0.3">
      <c r="A38" s="2" t="s">
        <v>6</v>
      </c>
      <c r="B38" s="2" t="s">
        <v>242</v>
      </c>
      <c r="C38" s="10">
        <v>6</v>
      </c>
    </row>
    <row r="39" spans="1:3" x14ac:dyDescent="0.3">
      <c r="A39" s="2" t="s">
        <v>6</v>
      </c>
      <c r="B39" s="2" t="s">
        <v>246</v>
      </c>
      <c r="C39" s="10">
        <v>22</v>
      </c>
    </row>
    <row r="40" spans="1:3" x14ac:dyDescent="0.3">
      <c r="A40" s="2" t="s">
        <v>6</v>
      </c>
      <c r="B40" s="2" t="s">
        <v>247</v>
      </c>
      <c r="C40" s="10">
        <v>9</v>
      </c>
    </row>
    <row r="41" spans="1:3" x14ac:dyDescent="0.3">
      <c r="A41" s="2" t="s">
        <v>6</v>
      </c>
      <c r="B41" s="2" t="s">
        <v>252</v>
      </c>
      <c r="C41" s="10">
        <v>2</v>
      </c>
    </row>
    <row r="42" spans="1:3" x14ac:dyDescent="0.3">
      <c r="A42" s="2" t="s">
        <v>6</v>
      </c>
      <c r="B42" s="2" t="s">
        <v>244</v>
      </c>
      <c r="C42" s="10">
        <v>2</v>
      </c>
    </row>
    <row r="43" spans="1:3" x14ac:dyDescent="0.3">
      <c r="A43" s="2" t="s">
        <v>8</v>
      </c>
      <c r="B43" s="2" t="s">
        <v>246</v>
      </c>
      <c r="C43" s="10">
        <v>2</v>
      </c>
    </row>
    <row r="44" spans="1:3" x14ac:dyDescent="0.3">
      <c r="A44" s="2" t="s">
        <v>8</v>
      </c>
      <c r="B44" s="2" t="s">
        <v>243</v>
      </c>
      <c r="C44" s="10">
        <v>1</v>
      </c>
    </row>
    <row r="45" spans="1:3" x14ac:dyDescent="0.3">
      <c r="A45" s="2" t="s">
        <v>8</v>
      </c>
      <c r="B45" s="2" t="s">
        <v>245</v>
      </c>
      <c r="C45" s="10">
        <v>2</v>
      </c>
    </row>
    <row r="46" spans="1:3" x14ac:dyDescent="0.3">
      <c r="A46" s="2" t="s">
        <v>8</v>
      </c>
      <c r="B46" s="2" t="s">
        <v>242</v>
      </c>
      <c r="C46" s="10">
        <v>2</v>
      </c>
    </row>
    <row r="47" spans="1:3" x14ac:dyDescent="0.3">
      <c r="A47" s="2" t="s">
        <v>8</v>
      </c>
      <c r="B47" s="2" t="s">
        <v>244</v>
      </c>
      <c r="C47" s="10">
        <v>2</v>
      </c>
    </row>
    <row r="48" spans="1:3" x14ac:dyDescent="0.3">
      <c r="A48" s="2" t="s">
        <v>8</v>
      </c>
      <c r="B48" s="2" t="s">
        <v>249</v>
      </c>
      <c r="C48" s="10">
        <v>1</v>
      </c>
    </row>
    <row r="49" spans="1:3" x14ac:dyDescent="0.3">
      <c r="A49" s="2" t="s">
        <v>8</v>
      </c>
      <c r="B49" s="2" t="s">
        <v>253</v>
      </c>
      <c r="C49" s="10">
        <v>1</v>
      </c>
    </row>
    <row r="50" spans="1:3" x14ac:dyDescent="0.3">
      <c r="A50" s="2" t="s">
        <v>9</v>
      </c>
      <c r="B50" s="2" t="s">
        <v>245</v>
      </c>
      <c r="C50" s="10">
        <v>3</v>
      </c>
    </row>
    <row r="51" spans="1:3" x14ac:dyDescent="0.3">
      <c r="A51" s="2" t="s">
        <v>9</v>
      </c>
      <c r="B51" s="2" t="s">
        <v>247</v>
      </c>
      <c r="C51" s="10">
        <v>3</v>
      </c>
    </row>
    <row r="52" spans="1:3" x14ac:dyDescent="0.3">
      <c r="A52" s="2" t="s">
        <v>9</v>
      </c>
      <c r="B52" s="2" t="s">
        <v>244</v>
      </c>
      <c r="C52" s="10">
        <v>4</v>
      </c>
    </row>
    <row r="53" spans="1:3" x14ac:dyDescent="0.3">
      <c r="A53" s="2" t="s">
        <v>9</v>
      </c>
      <c r="B53" s="2" t="s">
        <v>253</v>
      </c>
      <c r="C53" s="10">
        <v>1</v>
      </c>
    </row>
    <row r="54" spans="1:3" x14ac:dyDescent="0.3">
      <c r="A54" s="2" t="s">
        <v>9</v>
      </c>
      <c r="B54" s="2" t="s">
        <v>246</v>
      </c>
      <c r="C54" s="10">
        <v>1</v>
      </c>
    </row>
    <row r="55" spans="1:3" x14ac:dyDescent="0.3">
      <c r="A55" s="2" t="s">
        <v>9</v>
      </c>
      <c r="B55" s="2" t="s">
        <v>243</v>
      </c>
      <c r="C55" s="10">
        <v>3</v>
      </c>
    </row>
    <row r="56" spans="1:3" x14ac:dyDescent="0.3">
      <c r="A56" s="2" t="s">
        <v>9</v>
      </c>
      <c r="B56" s="2" t="s">
        <v>249</v>
      </c>
      <c r="C56" s="10">
        <v>1</v>
      </c>
    </row>
    <row r="57" spans="1:3" x14ac:dyDescent="0.3">
      <c r="A57" s="2" t="s">
        <v>9</v>
      </c>
      <c r="B57" s="2" t="s">
        <v>248</v>
      </c>
      <c r="C57" s="10">
        <v>1</v>
      </c>
    </row>
    <row r="58" spans="1:3" x14ac:dyDescent="0.3">
      <c r="A58" s="2" t="s">
        <v>10</v>
      </c>
      <c r="B58" s="2" t="s">
        <v>243</v>
      </c>
      <c r="C58" s="10">
        <v>1</v>
      </c>
    </row>
    <row r="59" spans="1:3" x14ac:dyDescent="0.3">
      <c r="A59" s="2" t="s">
        <v>10</v>
      </c>
      <c r="B59" s="2" t="s">
        <v>245</v>
      </c>
      <c r="C59" s="10">
        <v>7</v>
      </c>
    </row>
    <row r="60" spans="1:3" x14ac:dyDescent="0.3">
      <c r="A60" s="2" t="s">
        <v>10</v>
      </c>
      <c r="B60" s="2" t="s">
        <v>242</v>
      </c>
      <c r="C60" s="10">
        <v>1</v>
      </c>
    </row>
    <row r="61" spans="1:3" x14ac:dyDescent="0.3">
      <c r="A61" s="2" t="s">
        <v>10</v>
      </c>
      <c r="B61" s="2" t="s">
        <v>246</v>
      </c>
      <c r="C61" s="10">
        <v>3</v>
      </c>
    </row>
    <row r="62" spans="1:3" x14ac:dyDescent="0.3">
      <c r="A62" s="2" t="s">
        <v>10</v>
      </c>
      <c r="B62" s="2" t="s">
        <v>247</v>
      </c>
      <c r="C62" s="10">
        <v>1</v>
      </c>
    </row>
    <row r="63" spans="1:3" x14ac:dyDescent="0.3">
      <c r="A63" s="2" t="s">
        <v>11</v>
      </c>
      <c r="B63" s="2" t="s">
        <v>254</v>
      </c>
      <c r="C63" s="10">
        <v>55</v>
      </c>
    </row>
    <row r="64" spans="1:3" x14ac:dyDescent="0.3">
      <c r="A64" s="2" t="s">
        <v>11</v>
      </c>
      <c r="B64" s="2" t="s">
        <v>243</v>
      </c>
      <c r="C64" s="10">
        <v>112</v>
      </c>
    </row>
    <row r="65" spans="1:3" x14ac:dyDescent="0.3">
      <c r="A65" s="2" t="s">
        <v>11</v>
      </c>
      <c r="B65" s="2" t="s">
        <v>245</v>
      </c>
      <c r="C65" s="10">
        <v>64</v>
      </c>
    </row>
    <row r="66" spans="1:3" x14ac:dyDescent="0.3">
      <c r="A66" s="2" t="s">
        <v>11</v>
      </c>
      <c r="B66" s="2" t="s">
        <v>244</v>
      </c>
      <c r="C66" s="10">
        <v>36</v>
      </c>
    </row>
    <row r="67" spans="1:3" x14ac:dyDescent="0.3">
      <c r="A67" s="2" t="s">
        <v>11</v>
      </c>
      <c r="B67" s="2" t="s">
        <v>247</v>
      </c>
      <c r="C67" s="10">
        <v>24</v>
      </c>
    </row>
    <row r="68" spans="1:3" x14ac:dyDescent="0.3">
      <c r="A68" s="2" t="s">
        <v>11</v>
      </c>
      <c r="B68" s="2" t="s">
        <v>246</v>
      </c>
      <c r="C68" s="10">
        <v>10</v>
      </c>
    </row>
    <row r="69" spans="1:3" x14ac:dyDescent="0.3">
      <c r="A69" s="2" t="s">
        <v>11</v>
      </c>
      <c r="B69" s="2" t="s">
        <v>250</v>
      </c>
      <c r="C69" s="10">
        <v>7</v>
      </c>
    </row>
    <row r="70" spans="1:3" x14ac:dyDescent="0.3">
      <c r="A70" s="2" t="s">
        <v>11</v>
      </c>
      <c r="B70" s="2" t="s">
        <v>242</v>
      </c>
      <c r="C70" s="10">
        <v>7</v>
      </c>
    </row>
    <row r="71" spans="1:3" x14ac:dyDescent="0.3">
      <c r="A71" s="2" t="s">
        <v>11</v>
      </c>
      <c r="B71" s="2" t="s">
        <v>253</v>
      </c>
      <c r="C71" s="10">
        <v>9</v>
      </c>
    </row>
    <row r="72" spans="1:3" x14ac:dyDescent="0.3">
      <c r="A72" s="2" t="s">
        <v>11</v>
      </c>
      <c r="B72" s="2" t="s">
        <v>255</v>
      </c>
      <c r="C72" s="10">
        <v>7</v>
      </c>
    </row>
    <row r="73" spans="1:3" x14ac:dyDescent="0.3">
      <c r="A73" s="2" t="s">
        <v>11</v>
      </c>
      <c r="B73" s="2" t="s">
        <v>249</v>
      </c>
      <c r="C73" s="10">
        <v>1</v>
      </c>
    </row>
    <row r="74" spans="1:3" x14ac:dyDescent="0.3">
      <c r="A74" s="2" t="s">
        <v>11</v>
      </c>
      <c r="B74" s="2" t="s">
        <v>248</v>
      </c>
      <c r="C74" s="10">
        <v>1</v>
      </c>
    </row>
    <row r="75" spans="1:3" x14ac:dyDescent="0.3">
      <c r="A75" s="2" t="s">
        <v>13</v>
      </c>
      <c r="B75" s="2" t="s">
        <v>246</v>
      </c>
      <c r="C75" s="10">
        <v>5</v>
      </c>
    </row>
    <row r="76" spans="1:3" x14ac:dyDescent="0.3">
      <c r="A76" s="2" t="s">
        <v>13</v>
      </c>
      <c r="B76" s="2" t="s">
        <v>245</v>
      </c>
      <c r="C76" s="10">
        <v>10</v>
      </c>
    </row>
    <row r="77" spans="1:3" x14ac:dyDescent="0.3">
      <c r="A77" s="2" t="s">
        <v>13</v>
      </c>
      <c r="B77" s="2" t="s">
        <v>247</v>
      </c>
      <c r="C77" s="10">
        <v>3</v>
      </c>
    </row>
    <row r="78" spans="1:3" x14ac:dyDescent="0.3">
      <c r="A78" s="2" t="s">
        <v>13</v>
      </c>
      <c r="B78" s="2" t="s">
        <v>248</v>
      </c>
      <c r="C78" s="10">
        <v>1</v>
      </c>
    </row>
    <row r="79" spans="1:3" x14ac:dyDescent="0.3">
      <c r="A79" s="2" t="s">
        <v>13</v>
      </c>
      <c r="B79" s="2" t="s">
        <v>242</v>
      </c>
      <c r="C79" s="10">
        <v>1</v>
      </c>
    </row>
    <row r="80" spans="1:3" x14ac:dyDescent="0.3">
      <c r="A80" s="2" t="s">
        <v>13</v>
      </c>
      <c r="B80" s="2" t="s">
        <v>244</v>
      </c>
      <c r="C80" s="10">
        <v>1</v>
      </c>
    </row>
    <row r="81" spans="1:3" x14ac:dyDescent="0.3">
      <c r="A81" s="2" t="s">
        <v>14</v>
      </c>
      <c r="B81" s="2" t="s">
        <v>245</v>
      </c>
      <c r="C81" s="10">
        <v>6</v>
      </c>
    </row>
    <row r="82" spans="1:3" x14ac:dyDescent="0.3">
      <c r="A82" s="2" t="s">
        <v>14</v>
      </c>
      <c r="B82" s="2" t="s">
        <v>246</v>
      </c>
      <c r="C82" s="10">
        <v>7</v>
      </c>
    </row>
    <row r="83" spans="1:3" x14ac:dyDescent="0.3">
      <c r="A83" s="2" t="s">
        <v>14</v>
      </c>
      <c r="B83" s="2" t="s">
        <v>244</v>
      </c>
      <c r="C83" s="10">
        <v>3</v>
      </c>
    </row>
    <row r="84" spans="1:3" x14ac:dyDescent="0.3">
      <c r="A84" s="2" t="s">
        <v>14</v>
      </c>
      <c r="B84" s="2" t="s">
        <v>248</v>
      </c>
      <c r="C84" s="10">
        <v>1</v>
      </c>
    </row>
    <row r="85" spans="1:3" x14ac:dyDescent="0.3">
      <c r="A85" s="2" t="s">
        <v>14</v>
      </c>
      <c r="B85" s="2" t="s">
        <v>242</v>
      </c>
      <c r="C85" s="10">
        <v>3</v>
      </c>
    </row>
    <row r="86" spans="1:3" x14ac:dyDescent="0.3">
      <c r="A86" s="2" t="s">
        <v>15</v>
      </c>
      <c r="B86" s="2" t="s">
        <v>246</v>
      </c>
      <c r="C86" s="10">
        <v>2</v>
      </c>
    </row>
    <row r="87" spans="1:3" x14ac:dyDescent="0.3">
      <c r="A87" s="2" t="s">
        <v>15</v>
      </c>
      <c r="B87" s="2" t="s">
        <v>244</v>
      </c>
      <c r="C87" s="10">
        <v>1</v>
      </c>
    </row>
    <row r="88" spans="1:3" x14ac:dyDescent="0.3">
      <c r="A88" s="2" t="s">
        <v>15</v>
      </c>
      <c r="B88" s="2" t="s">
        <v>243</v>
      </c>
      <c r="C88" s="10">
        <v>1</v>
      </c>
    </row>
    <row r="89" spans="1:3" x14ac:dyDescent="0.3">
      <c r="A89" s="2" t="s">
        <v>16</v>
      </c>
      <c r="B89" s="2" t="s">
        <v>246</v>
      </c>
      <c r="C89" s="10">
        <v>3</v>
      </c>
    </row>
    <row r="90" spans="1:3" x14ac:dyDescent="0.3">
      <c r="A90" s="2" t="s">
        <v>16</v>
      </c>
      <c r="B90" s="2" t="s">
        <v>242</v>
      </c>
      <c r="C90" s="10">
        <v>3</v>
      </c>
    </row>
    <row r="91" spans="1:3" x14ac:dyDescent="0.3">
      <c r="A91" s="2" t="s">
        <v>16</v>
      </c>
      <c r="B91" s="2" t="s">
        <v>245</v>
      </c>
      <c r="C91" s="10">
        <v>3</v>
      </c>
    </row>
    <row r="92" spans="1:3" x14ac:dyDescent="0.3">
      <c r="A92" s="2" t="s">
        <v>16</v>
      </c>
      <c r="B92" s="2" t="s">
        <v>243</v>
      </c>
      <c r="C92" s="10">
        <v>2</v>
      </c>
    </row>
    <row r="93" spans="1:3" x14ac:dyDescent="0.3">
      <c r="A93" s="2" t="s">
        <v>16</v>
      </c>
      <c r="B93" s="2" t="s">
        <v>250</v>
      </c>
      <c r="C93" s="10">
        <v>1</v>
      </c>
    </row>
    <row r="94" spans="1:3" x14ac:dyDescent="0.3">
      <c r="A94" s="2" t="s">
        <v>16</v>
      </c>
      <c r="B94" s="2" t="s">
        <v>244</v>
      </c>
      <c r="C94" s="10">
        <v>1</v>
      </c>
    </row>
    <row r="95" spans="1:3" x14ac:dyDescent="0.3">
      <c r="A95" s="2" t="s">
        <v>16</v>
      </c>
      <c r="B95" s="2" t="s">
        <v>253</v>
      </c>
      <c r="C95" s="10">
        <v>1</v>
      </c>
    </row>
    <row r="96" spans="1:3" x14ac:dyDescent="0.3">
      <c r="A96" s="2" t="s">
        <v>16</v>
      </c>
      <c r="B96" s="2" t="s">
        <v>247</v>
      </c>
      <c r="C96" s="10">
        <v>2</v>
      </c>
    </row>
    <row r="97" spans="1:3" x14ac:dyDescent="0.3">
      <c r="A97" s="2" t="s">
        <v>7</v>
      </c>
      <c r="B97" s="2" t="s">
        <v>245</v>
      </c>
      <c r="C97" s="10">
        <v>4</v>
      </c>
    </row>
    <row r="98" spans="1:3" x14ac:dyDescent="0.3">
      <c r="A98" s="2" t="s">
        <v>7</v>
      </c>
      <c r="B98" s="2" t="s">
        <v>246</v>
      </c>
      <c r="C98" s="10">
        <v>2</v>
      </c>
    </row>
    <row r="99" spans="1:3" x14ac:dyDescent="0.3">
      <c r="A99" s="2" t="s">
        <v>7</v>
      </c>
      <c r="B99" s="2" t="s">
        <v>247</v>
      </c>
      <c r="C99" s="10">
        <v>4</v>
      </c>
    </row>
    <row r="100" spans="1:3" x14ac:dyDescent="0.3">
      <c r="A100" s="2" t="s">
        <v>7</v>
      </c>
      <c r="B100" s="2" t="s">
        <v>244</v>
      </c>
      <c r="C100" s="10">
        <v>1</v>
      </c>
    </row>
    <row r="101" spans="1:3" x14ac:dyDescent="0.3">
      <c r="A101" s="2" t="s">
        <v>7</v>
      </c>
      <c r="B101" s="2" t="s">
        <v>248</v>
      </c>
      <c r="C101" s="10">
        <v>1</v>
      </c>
    </row>
    <row r="102" spans="1:3" x14ac:dyDescent="0.3">
      <c r="A102" s="2" t="s">
        <v>7</v>
      </c>
      <c r="B102" s="2" t="s">
        <v>251</v>
      </c>
      <c r="C102" s="10">
        <v>1</v>
      </c>
    </row>
    <row r="103" spans="1:3" x14ac:dyDescent="0.3">
      <c r="A103" s="2" t="s">
        <v>18</v>
      </c>
      <c r="B103" s="2" t="s">
        <v>243</v>
      </c>
      <c r="C103" s="10">
        <v>44</v>
      </c>
    </row>
    <row r="104" spans="1:3" x14ac:dyDescent="0.3">
      <c r="A104" s="2" t="s">
        <v>18</v>
      </c>
      <c r="B104" s="2" t="s">
        <v>254</v>
      </c>
      <c r="C104" s="10">
        <v>38</v>
      </c>
    </row>
    <row r="105" spans="1:3" x14ac:dyDescent="0.3">
      <c r="A105" s="2" t="s">
        <v>18</v>
      </c>
      <c r="B105" s="2" t="s">
        <v>244</v>
      </c>
      <c r="C105" s="10">
        <v>82</v>
      </c>
    </row>
    <row r="106" spans="1:3" x14ac:dyDescent="0.3">
      <c r="A106" s="2" t="s">
        <v>18</v>
      </c>
      <c r="B106" s="2" t="s">
        <v>247</v>
      </c>
      <c r="C106" s="10">
        <v>4</v>
      </c>
    </row>
    <row r="107" spans="1:3" x14ac:dyDescent="0.3">
      <c r="A107" s="2" t="s">
        <v>18</v>
      </c>
      <c r="B107" s="2" t="s">
        <v>253</v>
      </c>
      <c r="C107" s="10">
        <v>1</v>
      </c>
    </row>
    <row r="108" spans="1:3" x14ac:dyDescent="0.3">
      <c r="A108" s="2" t="s">
        <v>18</v>
      </c>
      <c r="B108" s="2" t="s">
        <v>252</v>
      </c>
      <c r="C108" s="10">
        <v>8</v>
      </c>
    </row>
    <row r="109" spans="1:3" x14ac:dyDescent="0.3">
      <c r="A109" s="2" t="s">
        <v>18</v>
      </c>
      <c r="B109" s="2" t="s">
        <v>245</v>
      </c>
      <c r="C109" s="10">
        <v>1</v>
      </c>
    </row>
    <row r="110" spans="1:3" x14ac:dyDescent="0.3">
      <c r="A110" s="2" t="s">
        <v>20</v>
      </c>
      <c r="B110" s="2" t="s">
        <v>247</v>
      </c>
      <c r="C110" s="10">
        <v>6</v>
      </c>
    </row>
    <row r="111" spans="1:3" x14ac:dyDescent="0.3">
      <c r="A111" s="2" t="s">
        <v>20</v>
      </c>
      <c r="B111" s="2" t="s">
        <v>244</v>
      </c>
      <c r="C111" s="10">
        <v>1</v>
      </c>
    </row>
    <row r="112" spans="1:3" x14ac:dyDescent="0.3">
      <c r="A112" s="2" t="s">
        <v>20</v>
      </c>
      <c r="B112" s="2" t="s">
        <v>243</v>
      </c>
      <c r="C112" s="10">
        <v>8</v>
      </c>
    </row>
    <row r="113" spans="1:3" x14ac:dyDescent="0.3">
      <c r="A113" s="2" t="s">
        <v>20</v>
      </c>
      <c r="B113" s="2" t="s">
        <v>245</v>
      </c>
      <c r="C113" s="10">
        <v>12</v>
      </c>
    </row>
    <row r="114" spans="1:3" x14ac:dyDescent="0.3">
      <c r="A114" s="2" t="s">
        <v>20</v>
      </c>
      <c r="B114" s="2" t="s">
        <v>248</v>
      </c>
      <c r="C114" s="10">
        <v>1</v>
      </c>
    </row>
    <row r="115" spans="1:3" x14ac:dyDescent="0.3">
      <c r="A115" s="2" t="s">
        <v>21</v>
      </c>
      <c r="B115" s="2" t="s">
        <v>242</v>
      </c>
      <c r="C115" s="10">
        <v>1</v>
      </c>
    </row>
    <row r="116" spans="1:3" x14ac:dyDescent="0.3">
      <c r="A116" s="2" t="s">
        <v>21</v>
      </c>
      <c r="B116" s="2" t="s">
        <v>246</v>
      </c>
      <c r="C116" s="10">
        <v>5</v>
      </c>
    </row>
    <row r="117" spans="1:3" x14ac:dyDescent="0.3">
      <c r="A117" s="2" t="s">
        <v>22</v>
      </c>
      <c r="B117" s="2" t="s">
        <v>246</v>
      </c>
      <c r="C117" s="10">
        <v>1</v>
      </c>
    </row>
    <row r="118" spans="1:3" x14ac:dyDescent="0.3">
      <c r="A118" s="2" t="s">
        <v>22</v>
      </c>
      <c r="B118" s="2" t="s">
        <v>250</v>
      </c>
      <c r="C118" s="10">
        <v>1</v>
      </c>
    </row>
    <row r="119" spans="1:3" x14ac:dyDescent="0.3">
      <c r="A119" s="2" t="s">
        <v>23</v>
      </c>
      <c r="B119" s="2" t="s">
        <v>246</v>
      </c>
      <c r="C119" s="10">
        <v>3</v>
      </c>
    </row>
    <row r="120" spans="1:3" x14ac:dyDescent="0.3">
      <c r="A120" s="2" t="s">
        <v>23</v>
      </c>
      <c r="B120" s="2" t="s">
        <v>245</v>
      </c>
      <c r="C120" s="10">
        <v>2</v>
      </c>
    </row>
    <row r="121" spans="1:3" x14ac:dyDescent="0.3">
      <c r="A121" s="2" t="s">
        <v>23</v>
      </c>
      <c r="B121" s="2" t="s">
        <v>249</v>
      </c>
      <c r="C121" s="10">
        <v>1</v>
      </c>
    </row>
    <row r="122" spans="1:3" x14ac:dyDescent="0.3">
      <c r="A122" s="2" t="s">
        <v>23</v>
      </c>
      <c r="B122" s="2" t="s">
        <v>247</v>
      </c>
      <c r="C122" s="10">
        <v>1</v>
      </c>
    </row>
    <row r="123" spans="1:3" x14ac:dyDescent="0.3">
      <c r="A123" s="2" t="s">
        <v>23</v>
      </c>
      <c r="B123" s="2" t="s">
        <v>244</v>
      </c>
      <c r="C123" s="10">
        <v>2</v>
      </c>
    </row>
    <row r="124" spans="1:3" x14ac:dyDescent="0.3">
      <c r="A124" s="2" t="s">
        <v>24</v>
      </c>
      <c r="B124" s="2" t="s">
        <v>245</v>
      </c>
      <c r="C124" s="10">
        <v>6</v>
      </c>
    </row>
    <row r="125" spans="1:3" x14ac:dyDescent="0.3">
      <c r="A125" s="2" t="s">
        <v>24</v>
      </c>
      <c r="B125" s="2" t="s">
        <v>246</v>
      </c>
      <c r="C125" s="10">
        <v>7</v>
      </c>
    </row>
    <row r="126" spans="1:3" x14ac:dyDescent="0.3">
      <c r="A126" s="2" t="s">
        <v>24</v>
      </c>
      <c r="B126" s="2" t="s">
        <v>242</v>
      </c>
      <c r="C126" s="10">
        <v>4</v>
      </c>
    </row>
    <row r="127" spans="1:3" x14ac:dyDescent="0.3">
      <c r="A127" s="2" t="s">
        <v>24</v>
      </c>
      <c r="B127" s="2" t="s">
        <v>243</v>
      </c>
      <c r="C127" s="10">
        <v>3</v>
      </c>
    </row>
    <row r="128" spans="1:3" x14ac:dyDescent="0.3">
      <c r="A128" s="2" t="s">
        <v>24</v>
      </c>
      <c r="B128" s="2" t="s">
        <v>247</v>
      </c>
      <c r="C128" s="10">
        <v>1</v>
      </c>
    </row>
    <row r="129" spans="1:3" x14ac:dyDescent="0.3">
      <c r="A129" s="2" t="s">
        <v>25</v>
      </c>
      <c r="B129" s="2" t="s">
        <v>246</v>
      </c>
      <c r="C129" s="10">
        <v>1</v>
      </c>
    </row>
    <row r="130" spans="1:3" x14ac:dyDescent="0.3">
      <c r="A130" s="2" t="s">
        <v>25</v>
      </c>
      <c r="B130" s="2" t="s">
        <v>245</v>
      </c>
      <c r="C130" s="10">
        <v>1</v>
      </c>
    </row>
    <row r="131" spans="1:3" x14ac:dyDescent="0.3">
      <c r="A131" s="2" t="s">
        <v>26</v>
      </c>
      <c r="B131" s="2" t="s">
        <v>243</v>
      </c>
      <c r="C131" s="10">
        <v>5</v>
      </c>
    </row>
    <row r="132" spans="1:3" x14ac:dyDescent="0.3">
      <c r="A132" s="2" t="s">
        <v>26</v>
      </c>
      <c r="B132" s="2" t="s">
        <v>246</v>
      </c>
      <c r="C132" s="10">
        <v>2</v>
      </c>
    </row>
    <row r="133" spans="1:3" x14ac:dyDescent="0.3">
      <c r="A133" s="2" t="s">
        <v>26</v>
      </c>
      <c r="B133" s="2" t="s">
        <v>245</v>
      </c>
      <c r="C133" s="10">
        <v>6</v>
      </c>
    </row>
    <row r="134" spans="1:3" x14ac:dyDescent="0.3">
      <c r="A134" s="2" t="s">
        <v>26</v>
      </c>
      <c r="B134" s="2" t="s">
        <v>242</v>
      </c>
      <c r="C134" s="10">
        <v>1</v>
      </c>
    </row>
    <row r="135" spans="1:3" x14ac:dyDescent="0.3">
      <c r="A135" s="2" t="s">
        <v>27</v>
      </c>
      <c r="B135" s="2" t="s">
        <v>246</v>
      </c>
      <c r="C135" s="10">
        <v>5</v>
      </c>
    </row>
    <row r="136" spans="1:3" x14ac:dyDescent="0.3">
      <c r="A136" s="2" t="s">
        <v>27</v>
      </c>
      <c r="B136" s="2" t="s">
        <v>247</v>
      </c>
      <c r="C136" s="10">
        <v>2</v>
      </c>
    </row>
    <row r="137" spans="1:3" x14ac:dyDescent="0.3">
      <c r="A137" s="2" t="s">
        <v>27</v>
      </c>
      <c r="B137" s="2" t="s">
        <v>244</v>
      </c>
      <c r="C137" s="10">
        <v>1</v>
      </c>
    </row>
    <row r="138" spans="1:3" x14ac:dyDescent="0.3">
      <c r="A138" s="2" t="s">
        <v>27</v>
      </c>
      <c r="B138" s="2" t="s">
        <v>243</v>
      </c>
      <c r="C138" s="10">
        <v>1</v>
      </c>
    </row>
    <row r="139" spans="1:3" x14ac:dyDescent="0.3">
      <c r="A139" s="2" t="s">
        <v>27</v>
      </c>
      <c r="B139" s="2" t="s">
        <v>248</v>
      </c>
      <c r="C139" s="10">
        <v>1</v>
      </c>
    </row>
    <row r="140" spans="1:3" x14ac:dyDescent="0.3">
      <c r="A140" s="2" t="s">
        <v>27</v>
      </c>
      <c r="B140" s="2" t="s">
        <v>245</v>
      </c>
      <c r="C140" s="10">
        <v>2</v>
      </c>
    </row>
    <row r="141" spans="1:3" x14ac:dyDescent="0.3">
      <c r="A141" s="2" t="s">
        <v>27</v>
      </c>
      <c r="B141" s="2" t="s">
        <v>242</v>
      </c>
      <c r="C141" s="10">
        <v>1</v>
      </c>
    </row>
    <row r="142" spans="1:3" x14ac:dyDescent="0.3">
      <c r="A142" s="2" t="s">
        <v>12</v>
      </c>
      <c r="B142" s="2" t="s">
        <v>243</v>
      </c>
      <c r="C142" s="10">
        <v>37</v>
      </c>
    </row>
    <row r="143" spans="1:3" x14ac:dyDescent="0.3">
      <c r="A143" s="2" t="s">
        <v>12</v>
      </c>
      <c r="B143" s="2" t="s">
        <v>244</v>
      </c>
      <c r="C143" s="10">
        <v>17</v>
      </c>
    </row>
    <row r="144" spans="1:3" x14ac:dyDescent="0.3">
      <c r="A144" s="2" t="s">
        <v>12</v>
      </c>
      <c r="B144" s="2" t="s">
        <v>252</v>
      </c>
      <c r="C144" s="10">
        <v>2</v>
      </c>
    </row>
    <row r="145" spans="1:3" x14ac:dyDescent="0.3">
      <c r="A145" s="2" t="s">
        <v>12</v>
      </c>
      <c r="B145" s="2" t="s">
        <v>254</v>
      </c>
      <c r="C145" s="10">
        <v>16</v>
      </c>
    </row>
    <row r="146" spans="1:3" x14ac:dyDescent="0.3">
      <c r="A146" s="2" t="s">
        <v>12</v>
      </c>
      <c r="B146" s="2" t="s">
        <v>248</v>
      </c>
      <c r="C146" s="10">
        <v>1</v>
      </c>
    </row>
    <row r="147" spans="1:3" x14ac:dyDescent="0.3">
      <c r="A147" s="2" t="s">
        <v>12</v>
      </c>
      <c r="B147" s="2" t="s">
        <v>245</v>
      </c>
      <c r="C147" s="10">
        <v>4</v>
      </c>
    </row>
    <row r="148" spans="1:3" x14ac:dyDescent="0.3">
      <c r="A148" s="2" t="s">
        <v>12</v>
      </c>
      <c r="B148" s="2" t="s">
        <v>247</v>
      </c>
      <c r="C148" s="10">
        <v>3</v>
      </c>
    </row>
    <row r="149" spans="1:3" x14ac:dyDescent="0.3">
      <c r="A149" s="2" t="s">
        <v>12</v>
      </c>
      <c r="B149" s="2" t="s">
        <v>253</v>
      </c>
      <c r="C149" s="10">
        <v>3</v>
      </c>
    </row>
    <row r="150" spans="1:3" x14ac:dyDescent="0.3">
      <c r="A150" s="2" t="s">
        <v>12</v>
      </c>
      <c r="B150" s="2" t="s">
        <v>242</v>
      </c>
      <c r="C150" s="10">
        <v>1</v>
      </c>
    </row>
    <row r="151" spans="1:3" x14ac:dyDescent="0.3">
      <c r="A151" s="2" t="s">
        <v>28</v>
      </c>
      <c r="B151" s="2" t="s">
        <v>246</v>
      </c>
      <c r="C151" s="10">
        <v>4</v>
      </c>
    </row>
    <row r="152" spans="1:3" x14ac:dyDescent="0.3">
      <c r="A152" s="2" t="s">
        <v>28</v>
      </c>
      <c r="B152" s="2" t="s">
        <v>242</v>
      </c>
      <c r="C152" s="10">
        <v>1</v>
      </c>
    </row>
    <row r="153" spans="1:3" x14ac:dyDescent="0.3">
      <c r="A153" s="2" t="s">
        <v>28</v>
      </c>
      <c r="B153" s="2" t="s">
        <v>245</v>
      </c>
      <c r="C153" s="10">
        <v>2</v>
      </c>
    </row>
    <row r="154" spans="1:3" x14ac:dyDescent="0.3">
      <c r="A154" s="2" t="s">
        <v>29</v>
      </c>
      <c r="B154" s="2" t="s">
        <v>245</v>
      </c>
      <c r="C154" s="10">
        <v>4</v>
      </c>
    </row>
    <row r="155" spans="1:3" x14ac:dyDescent="0.3">
      <c r="A155" s="2" t="s">
        <v>29</v>
      </c>
      <c r="B155" s="2" t="s">
        <v>248</v>
      </c>
      <c r="C155" s="10">
        <v>1</v>
      </c>
    </row>
    <row r="156" spans="1:3" x14ac:dyDescent="0.3">
      <c r="A156" s="2" t="s">
        <v>29</v>
      </c>
      <c r="B156" s="2" t="s">
        <v>246</v>
      </c>
      <c r="C156" s="10">
        <v>1</v>
      </c>
    </row>
    <row r="157" spans="1:3" x14ac:dyDescent="0.3">
      <c r="A157" s="2" t="s">
        <v>30</v>
      </c>
      <c r="B157" s="2" t="s">
        <v>245</v>
      </c>
      <c r="C157" s="10">
        <v>2</v>
      </c>
    </row>
    <row r="158" spans="1:3" x14ac:dyDescent="0.3">
      <c r="A158" s="2" t="s">
        <v>30</v>
      </c>
      <c r="B158" s="2" t="s">
        <v>243</v>
      </c>
      <c r="C158" s="10">
        <v>4</v>
      </c>
    </row>
    <row r="159" spans="1:3" x14ac:dyDescent="0.3">
      <c r="A159" s="2" t="s">
        <v>30</v>
      </c>
      <c r="B159" s="2" t="s">
        <v>253</v>
      </c>
      <c r="C159" s="10">
        <v>1</v>
      </c>
    </row>
    <row r="160" spans="1:3" x14ac:dyDescent="0.3">
      <c r="A160" s="2" t="s">
        <v>30</v>
      </c>
      <c r="B160" s="2" t="s">
        <v>246</v>
      </c>
      <c r="C160" s="10">
        <v>1</v>
      </c>
    </row>
    <row r="161" spans="1:3" x14ac:dyDescent="0.3">
      <c r="A161" s="2" t="s">
        <v>31</v>
      </c>
      <c r="B161" s="2" t="s">
        <v>245</v>
      </c>
      <c r="C161" s="10">
        <v>4</v>
      </c>
    </row>
    <row r="162" spans="1:3" x14ac:dyDescent="0.3">
      <c r="A162" s="2" t="s">
        <v>31</v>
      </c>
      <c r="B162" s="2" t="s">
        <v>244</v>
      </c>
      <c r="C162" s="10">
        <v>5</v>
      </c>
    </row>
    <row r="163" spans="1:3" x14ac:dyDescent="0.3">
      <c r="A163" s="2" t="s">
        <v>31</v>
      </c>
      <c r="B163" s="2" t="s">
        <v>251</v>
      </c>
      <c r="C163" s="10">
        <v>1</v>
      </c>
    </row>
    <row r="164" spans="1:3" x14ac:dyDescent="0.3">
      <c r="A164" s="2" t="s">
        <v>32</v>
      </c>
      <c r="B164" s="2" t="s">
        <v>246</v>
      </c>
      <c r="C164" s="10">
        <v>3</v>
      </c>
    </row>
    <row r="165" spans="1:3" x14ac:dyDescent="0.3">
      <c r="A165" s="2" t="s">
        <v>32</v>
      </c>
      <c r="B165" s="2" t="s">
        <v>242</v>
      </c>
      <c r="C165" s="10">
        <v>2</v>
      </c>
    </row>
    <row r="166" spans="1:3" x14ac:dyDescent="0.3">
      <c r="A166" s="2" t="s">
        <v>32</v>
      </c>
      <c r="B166" s="2" t="s">
        <v>245</v>
      </c>
      <c r="C166" s="10">
        <v>2</v>
      </c>
    </row>
    <row r="167" spans="1:3" x14ac:dyDescent="0.3">
      <c r="A167" s="2" t="s">
        <v>32</v>
      </c>
      <c r="B167" s="2" t="s">
        <v>243</v>
      </c>
      <c r="C167" s="10">
        <v>1</v>
      </c>
    </row>
    <row r="168" spans="1:3" x14ac:dyDescent="0.3">
      <c r="A168" s="2" t="s">
        <v>33</v>
      </c>
      <c r="B168" s="2" t="s">
        <v>245</v>
      </c>
      <c r="C168" s="10">
        <v>3</v>
      </c>
    </row>
    <row r="169" spans="1:3" x14ac:dyDescent="0.3">
      <c r="A169" s="2" t="s">
        <v>33</v>
      </c>
      <c r="B169" s="2" t="s">
        <v>243</v>
      </c>
      <c r="C169" s="10">
        <v>2</v>
      </c>
    </row>
    <row r="170" spans="1:3" x14ac:dyDescent="0.3">
      <c r="A170" s="2" t="s">
        <v>33</v>
      </c>
      <c r="B170" s="2" t="s">
        <v>244</v>
      </c>
      <c r="C170" s="10">
        <v>4</v>
      </c>
    </row>
    <row r="171" spans="1:3" x14ac:dyDescent="0.3">
      <c r="A171" s="2" t="s">
        <v>34</v>
      </c>
      <c r="B171" s="2" t="s">
        <v>244</v>
      </c>
      <c r="C171" s="10">
        <v>1</v>
      </c>
    </row>
    <row r="172" spans="1:3" x14ac:dyDescent="0.3">
      <c r="A172" s="2" t="s">
        <v>34</v>
      </c>
      <c r="B172" s="2" t="s">
        <v>247</v>
      </c>
      <c r="C172" s="10">
        <v>1</v>
      </c>
    </row>
    <row r="173" spans="1:3" x14ac:dyDescent="0.3">
      <c r="A173" s="2" t="s">
        <v>34</v>
      </c>
      <c r="B173" s="2" t="s">
        <v>246</v>
      </c>
      <c r="C173" s="10">
        <v>1</v>
      </c>
    </row>
    <row r="174" spans="1:3" x14ac:dyDescent="0.3">
      <c r="A174" s="2" t="s">
        <v>34</v>
      </c>
      <c r="B174" s="2" t="s">
        <v>245</v>
      </c>
      <c r="C174" s="10">
        <v>2</v>
      </c>
    </row>
    <row r="175" spans="1:3" x14ac:dyDescent="0.3">
      <c r="A175" s="2" t="s">
        <v>34</v>
      </c>
      <c r="B175" s="2" t="s">
        <v>243</v>
      </c>
      <c r="C175" s="10">
        <v>1</v>
      </c>
    </row>
    <row r="176" spans="1:3" x14ac:dyDescent="0.3">
      <c r="A176" s="2" t="s">
        <v>35</v>
      </c>
      <c r="B176" s="2" t="s">
        <v>247</v>
      </c>
      <c r="C176" s="10">
        <v>1</v>
      </c>
    </row>
    <row r="177" spans="1:3" x14ac:dyDescent="0.3">
      <c r="A177" s="2" t="s">
        <v>35</v>
      </c>
      <c r="B177" s="2" t="s">
        <v>243</v>
      </c>
      <c r="C177" s="10">
        <v>2</v>
      </c>
    </row>
    <row r="178" spans="1:3" x14ac:dyDescent="0.3">
      <c r="A178" s="2" t="s">
        <v>35</v>
      </c>
      <c r="B178" s="2" t="s">
        <v>245</v>
      </c>
      <c r="C178" s="10">
        <v>2</v>
      </c>
    </row>
    <row r="179" spans="1:3" x14ac:dyDescent="0.3">
      <c r="A179" s="2" t="s">
        <v>35</v>
      </c>
      <c r="B179" s="2" t="s">
        <v>242</v>
      </c>
      <c r="C179" s="10">
        <v>3</v>
      </c>
    </row>
    <row r="180" spans="1:3" x14ac:dyDescent="0.3">
      <c r="A180" s="2" t="s">
        <v>35</v>
      </c>
      <c r="B180" s="2" t="s">
        <v>244</v>
      </c>
      <c r="C180" s="10">
        <v>1</v>
      </c>
    </row>
    <row r="181" spans="1:3" x14ac:dyDescent="0.3">
      <c r="A181" s="2" t="s">
        <v>35</v>
      </c>
      <c r="B181" s="2" t="s">
        <v>246</v>
      </c>
      <c r="C181" s="10">
        <v>2</v>
      </c>
    </row>
    <row r="182" spans="1:3" x14ac:dyDescent="0.3">
      <c r="A182" s="2" t="s">
        <v>36</v>
      </c>
      <c r="B182" s="2" t="s">
        <v>243</v>
      </c>
      <c r="C182" s="10">
        <v>1</v>
      </c>
    </row>
    <row r="183" spans="1:3" x14ac:dyDescent="0.3">
      <c r="A183" s="2" t="s">
        <v>36</v>
      </c>
      <c r="B183" s="2" t="s">
        <v>246</v>
      </c>
      <c r="C183" s="10">
        <v>3</v>
      </c>
    </row>
    <row r="184" spans="1:3" x14ac:dyDescent="0.3">
      <c r="A184" s="2" t="s">
        <v>36</v>
      </c>
      <c r="B184" s="2" t="s">
        <v>244</v>
      </c>
      <c r="C184" s="10">
        <v>2</v>
      </c>
    </row>
    <row r="185" spans="1:3" x14ac:dyDescent="0.3">
      <c r="A185" s="2" t="s">
        <v>36</v>
      </c>
      <c r="B185" s="2" t="s">
        <v>242</v>
      </c>
      <c r="C185" s="10">
        <v>1</v>
      </c>
    </row>
    <row r="186" spans="1:3" x14ac:dyDescent="0.3">
      <c r="A186" s="2" t="s">
        <v>36</v>
      </c>
      <c r="B186" s="2" t="s">
        <v>245</v>
      </c>
      <c r="C186" s="10">
        <v>2</v>
      </c>
    </row>
    <row r="187" spans="1:3" x14ac:dyDescent="0.3">
      <c r="A187" s="2" t="s">
        <v>37</v>
      </c>
      <c r="B187" s="2" t="s">
        <v>246</v>
      </c>
      <c r="C187" s="10">
        <v>3</v>
      </c>
    </row>
    <row r="188" spans="1:3" x14ac:dyDescent="0.3">
      <c r="A188" s="2" t="s">
        <v>37</v>
      </c>
      <c r="B188" s="2" t="s">
        <v>248</v>
      </c>
      <c r="C188" s="10">
        <v>1</v>
      </c>
    </row>
    <row r="189" spans="1:3" x14ac:dyDescent="0.3">
      <c r="A189" s="2" t="s">
        <v>37</v>
      </c>
      <c r="B189" s="2" t="s">
        <v>244</v>
      </c>
      <c r="C189" s="10">
        <v>1</v>
      </c>
    </row>
    <row r="190" spans="1:3" x14ac:dyDescent="0.3">
      <c r="A190" s="2" t="s">
        <v>37</v>
      </c>
      <c r="B190" s="2" t="s">
        <v>245</v>
      </c>
      <c r="C190" s="10">
        <v>1</v>
      </c>
    </row>
    <row r="191" spans="1:3" x14ac:dyDescent="0.3">
      <c r="A191" s="2" t="s">
        <v>37</v>
      </c>
      <c r="B191" s="2" t="s">
        <v>242</v>
      </c>
      <c r="C191" s="10">
        <v>1</v>
      </c>
    </row>
    <row r="192" spans="1:3" x14ac:dyDescent="0.3">
      <c r="A192" s="2" t="s">
        <v>38</v>
      </c>
      <c r="B192" s="2" t="s">
        <v>244</v>
      </c>
      <c r="C192" s="10">
        <v>1</v>
      </c>
    </row>
    <row r="193" spans="1:3" x14ac:dyDescent="0.3">
      <c r="A193" s="2" t="s">
        <v>38</v>
      </c>
      <c r="B193" s="2" t="s">
        <v>247</v>
      </c>
      <c r="C193" s="10">
        <v>2</v>
      </c>
    </row>
    <row r="194" spans="1:3" x14ac:dyDescent="0.3">
      <c r="A194" s="2" t="s">
        <v>38</v>
      </c>
      <c r="B194" s="2" t="s">
        <v>242</v>
      </c>
      <c r="C194" s="10">
        <v>1</v>
      </c>
    </row>
    <row r="195" spans="1:3" x14ac:dyDescent="0.3">
      <c r="A195" s="2" t="s">
        <v>38</v>
      </c>
      <c r="B195" s="2" t="s">
        <v>246</v>
      </c>
      <c r="C195" s="10">
        <v>1</v>
      </c>
    </row>
    <row r="196" spans="1:3" x14ac:dyDescent="0.3">
      <c r="A196" s="2" t="s">
        <v>38</v>
      </c>
      <c r="B196" s="2" t="s">
        <v>243</v>
      </c>
      <c r="C196" s="10">
        <v>2</v>
      </c>
    </row>
    <row r="197" spans="1:3" x14ac:dyDescent="0.3">
      <c r="A197" s="2" t="s">
        <v>39</v>
      </c>
      <c r="B197" s="2" t="s">
        <v>246</v>
      </c>
      <c r="C197" s="10">
        <v>18</v>
      </c>
    </row>
    <row r="198" spans="1:3" x14ac:dyDescent="0.3">
      <c r="A198" s="2" t="s">
        <v>39</v>
      </c>
      <c r="B198" s="2" t="s">
        <v>245</v>
      </c>
      <c r="C198" s="10">
        <v>8</v>
      </c>
    </row>
    <row r="199" spans="1:3" x14ac:dyDescent="0.3">
      <c r="A199" s="2" t="s">
        <v>39</v>
      </c>
      <c r="B199" s="2" t="s">
        <v>242</v>
      </c>
      <c r="C199" s="10">
        <v>4</v>
      </c>
    </row>
    <row r="200" spans="1:3" x14ac:dyDescent="0.3">
      <c r="A200" s="2" t="s">
        <v>39</v>
      </c>
      <c r="B200" s="2" t="s">
        <v>243</v>
      </c>
      <c r="C200" s="10">
        <v>1</v>
      </c>
    </row>
    <row r="201" spans="1:3" x14ac:dyDescent="0.3">
      <c r="A201" s="2" t="s">
        <v>39</v>
      </c>
      <c r="B201" s="2" t="s">
        <v>247</v>
      </c>
      <c r="C201" s="10">
        <v>2</v>
      </c>
    </row>
    <row r="202" spans="1:3" x14ac:dyDescent="0.3">
      <c r="A202" s="2" t="s">
        <v>19</v>
      </c>
      <c r="B202" s="2" t="s">
        <v>247</v>
      </c>
      <c r="C202" s="10">
        <v>9</v>
      </c>
    </row>
    <row r="203" spans="1:3" x14ac:dyDescent="0.3">
      <c r="A203" s="2" t="s">
        <v>19</v>
      </c>
      <c r="B203" s="2" t="s">
        <v>245</v>
      </c>
      <c r="C203" s="10">
        <v>52</v>
      </c>
    </row>
    <row r="204" spans="1:3" x14ac:dyDescent="0.3">
      <c r="A204" s="2" t="s">
        <v>19</v>
      </c>
      <c r="B204" s="2" t="s">
        <v>244</v>
      </c>
      <c r="C204" s="10">
        <v>54</v>
      </c>
    </row>
    <row r="205" spans="1:3" x14ac:dyDescent="0.3">
      <c r="A205" s="2" t="s">
        <v>19</v>
      </c>
      <c r="B205" s="2" t="s">
        <v>243</v>
      </c>
      <c r="C205" s="10">
        <v>37</v>
      </c>
    </row>
    <row r="206" spans="1:3" x14ac:dyDescent="0.3">
      <c r="A206" s="2" t="s">
        <v>19</v>
      </c>
      <c r="B206" s="2" t="s">
        <v>246</v>
      </c>
      <c r="C206" s="10">
        <v>12</v>
      </c>
    </row>
    <row r="207" spans="1:3" x14ac:dyDescent="0.3">
      <c r="A207" s="2" t="s">
        <v>19</v>
      </c>
      <c r="B207" s="2" t="s">
        <v>242</v>
      </c>
      <c r="C207" s="10">
        <v>3</v>
      </c>
    </row>
    <row r="208" spans="1:3" x14ac:dyDescent="0.3">
      <c r="A208" s="2" t="s">
        <v>19</v>
      </c>
      <c r="B208" s="2" t="s">
        <v>254</v>
      </c>
      <c r="C208" s="10">
        <v>57</v>
      </c>
    </row>
    <row r="209" spans="1:3" x14ac:dyDescent="0.3">
      <c r="A209" s="2" t="s">
        <v>19</v>
      </c>
      <c r="B209" s="2" t="s">
        <v>253</v>
      </c>
      <c r="C209" s="10">
        <v>4</v>
      </c>
    </row>
    <row r="210" spans="1:3" x14ac:dyDescent="0.3">
      <c r="A210" s="2" t="s">
        <v>19</v>
      </c>
      <c r="B210" s="2" t="s">
        <v>250</v>
      </c>
      <c r="C210" s="10">
        <v>2</v>
      </c>
    </row>
    <row r="211" spans="1:3" x14ac:dyDescent="0.3">
      <c r="A211" s="2" t="s">
        <v>40</v>
      </c>
      <c r="B211" s="2" t="s">
        <v>246</v>
      </c>
      <c r="C211" s="10">
        <v>1</v>
      </c>
    </row>
    <row r="212" spans="1:3" x14ac:dyDescent="0.3">
      <c r="A212" s="2" t="s">
        <v>40</v>
      </c>
      <c r="B212" s="2" t="s">
        <v>244</v>
      </c>
      <c r="C212" s="10">
        <v>1</v>
      </c>
    </row>
    <row r="213" spans="1:3" x14ac:dyDescent="0.3">
      <c r="A213" s="2" t="s">
        <v>40</v>
      </c>
      <c r="B213" s="2" t="s">
        <v>245</v>
      </c>
      <c r="C213" s="10">
        <v>1</v>
      </c>
    </row>
    <row r="214" spans="1:3" x14ac:dyDescent="0.3">
      <c r="A214" s="2" t="s">
        <v>41</v>
      </c>
      <c r="B214" s="2" t="s">
        <v>246</v>
      </c>
      <c r="C214" s="10">
        <v>1</v>
      </c>
    </row>
    <row r="215" spans="1:3" x14ac:dyDescent="0.3">
      <c r="A215" s="2" t="s">
        <v>41</v>
      </c>
      <c r="B215" s="2" t="s">
        <v>245</v>
      </c>
      <c r="C215" s="10">
        <v>1</v>
      </c>
    </row>
    <row r="216" spans="1:3" x14ac:dyDescent="0.3">
      <c r="A216" s="2" t="s">
        <v>42</v>
      </c>
      <c r="B216" s="2" t="s">
        <v>245</v>
      </c>
      <c r="C216" s="10">
        <v>1</v>
      </c>
    </row>
    <row r="217" spans="1:3" x14ac:dyDescent="0.3">
      <c r="A217" s="2" t="s">
        <v>42</v>
      </c>
      <c r="B217" s="2" t="s">
        <v>246</v>
      </c>
      <c r="C217" s="10">
        <v>3</v>
      </c>
    </row>
    <row r="218" spans="1:3" x14ac:dyDescent="0.3">
      <c r="A218" s="2" t="s">
        <v>42</v>
      </c>
      <c r="B218" s="2" t="s">
        <v>244</v>
      </c>
      <c r="C218" s="10">
        <v>1</v>
      </c>
    </row>
    <row r="219" spans="1:3" x14ac:dyDescent="0.3">
      <c r="A219" s="2" t="s">
        <v>42</v>
      </c>
      <c r="B219" s="2" t="s">
        <v>247</v>
      </c>
      <c r="C219" s="10">
        <v>1</v>
      </c>
    </row>
    <row r="220" spans="1:3" x14ac:dyDescent="0.3">
      <c r="A220" s="2" t="s">
        <v>43</v>
      </c>
      <c r="B220" s="2" t="s">
        <v>245</v>
      </c>
      <c r="C220" s="10">
        <v>4</v>
      </c>
    </row>
    <row r="221" spans="1:3" x14ac:dyDescent="0.3">
      <c r="A221" s="2" t="s">
        <v>43</v>
      </c>
      <c r="B221" s="2" t="s">
        <v>248</v>
      </c>
      <c r="C221" s="10">
        <v>1</v>
      </c>
    </row>
    <row r="222" spans="1:3" x14ac:dyDescent="0.3">
      <c r="A222" s="2" t="s">
        <v>43</v>
      </c>
      <c r="B222" s="2" t="s">
        <v>247</v>
      </c>
      <c r="C222" s="10">
        <v>2</v>
      </c>
    </row>
    <row r="223" spans="1:3" x14ac:dyDescent="0.3">
      <c r="A223" s="2" t="s">
        <v>43</v>
      </c>
      <c r="B223" s="2" t="s">
        <v>242</v>
      </c>
      <c r="C223" s="10">
        <v>1</v>
      </c>
    </row>
    <row r="224" spans="1:3" x14ac:dyDescent="0.3">
      <c r="A224" s="2" t="s">
        <v>44</v>
      </c>
      <c r="B224" s="2" t="s">
        <v>246</v>
      </c>
      <c r="C224" s="10">
        <v>7</v>
      </c>
    </row>
    <row r="225" spans="1:3" x14ac:dyDescent="0.3">
      <c r="A225" s="2" t="s">
        <v>44</v>
      </c>
      <c r="B225" s="2" t="s">
        <v>251</v>
      </c>
      <c r="C225" s="10">
        <v>2</v>
      </c>
    </row>
    <row r="226" spans="1:3" x14ac:dyDescent="0.3">
      <c r="A226" s="2" t="s">
        <v>44</v>
      </c>
      <c r="B226" s="2" t="s">
        <v>248</v>
      </c>
      <c r="C226" s="10">
        <v>1</v>
      </c>
    </row>
    <row r="227" spans="1:3" x14ac:dyDescent="0.3">
      <c r="A227" s="2" t="s">
        <v>44</v>
      </c>
      <c r="B227" s="2" t="s">
        <v>245</v>
      </c>
      <c r="C227" s="10">
        <v>1</v>
      </c>
    </row>
    <row r="228" spans="1:3" x14ac:dyDescent="0.3">
      <c r="A228" s="2" t="s">
        <v>44</v>
      </c>
      <c r="B228" s="2" t="s">
        <v>244</v>
      </c>
      <c r="C228" s="10">
        <v>1</v>
      </c>
    </row>
    <row r="229" spans="1:3" x14ac:dyDescent="0.3">
      <c r="A229" s="2" t="s">
        <v>44</v>
      </c>
      <c r="B229" s="2" t="s">
        <v>247</v>
      </c>
      <c r="C229" s="10">
        <v>2</v>
      </c>
    </row>
    <row r="230" spans="1:3" x14ac:dyDescent="0.3">
      <c r="A230" s="2" t="s">
        <v>44</v>
      </c>
      <c r="B230" s="2" t="s">
        <v>242</v>
      </c>
      <c r="C230" s="10">
        <v>4</v>
      </c>
    </row>
    <row r="231" spans="1:3" x14ac:dyDescent="0.3">
      <c r="A231" s="2" t="s">
        <v>44</v>
      </c>
      <c r="B231" s="2" t="s">
        <v>250</v>
      </c>
      <c r="C231" s="10">
        <v>1</v>
      </c>
    </row>
    <row r="232" spans="1:3" x14ac:dyDescent="0.3">
      <c r="A232" s="2" t="s">
        <v>45</v>
      </c>
      <c r="B232" s="2" t="s">
        <v>244</v>
      </c>
      <c r="C232" s="10">
        <v>1</v>
      </c>
    </row>
    <row r="233" spans="1:3" x14ac:dyDescent="0.3">
      <c r="A233" s="2" t="s">
        <v>45</v>
      </c>
      <c r="B233" s="2" t="s">
        <v>250</v>
      </c>
      <c r="C233" s="10">
        <v>1</v>
      </c>
    </row>
    <row r="234" spans="1:3" x14ac:dyDescent="0.3">
      <c r="A234" s="2" t="s">
        <v>45</v>
      </c>
      <c r="B234" s="2" t="s">
        <v>246</v>
      </c>
      <c r="C234" s="10">
        <v>1</v>
      </c>
    </row>
    <row r="235" spans="1:3" x14ac:dyDescent="0.3">
      <c r="A235" s="2" t="s">
        <v>45</v>
      </c>
      <c r="B235" s="2" t="s">
        <v>243</v>
      </c>
      <c r="C235" s="10">
        <v>3</v>
      </c>
    </row>
    <row r="236" spans="1:3" x14ac:dyDescent="0.3">
      <c r="A236" s="2" t="s">
        <v>45</v>
      </c>
      <c r="B236" s="2" t="s">
        <v>245</v>
      </c>
      <c r="C236" s="10">
        <v>1</v>
      </c>
    </row>
    <row r="237" spans="1:3" x14ac:dyDescent="0.3">
      <c r="A237" s="2" t="s">
        <v>45</v>
      </c>
      <c r="B237" s="2" t="s">
        <v>242</v>
      </c>
      <c r="C237" s="10">
        <v>1</v>
      </c>
    </row>
    <row r="238" spans="1:3" x14ac:dyDescent="0.3">
      <c r="A238" s="2" t="s">
        <v>46</v>
      </c>
      <c r="B238" s="2" t="s">
        <v>245</v>
      </c>
      <c r="C238" s="10">
        <v>8</v>
      </c>
    </row>
    <row r="239" spans="1:3" x14ac:dyDescent="0.3">
      <c r="A239" s="2" t="s">
        <v>46</v>
      </c>
      <c r="B239" s="2" t="s">
        <v>243</v>
      </c>
      <c r="C239" s="10">
        <v>6</v>
      </c>
    </row>
    <row r="240" spans="1:3" x14ac:dyDescent="0.3">
      <c r="A240" s="2" t="s">
        <v>46</v>
      </c>
      <c r="B240" s="2" t="s">
        <v>246</v>
      </c>
      <c r="C240" s="10">
        <v>4</v>
      </c>
    </row>
    <row r="241" spans="1:3" x14ac:dyDescent="0.3">
      <c r="A241" s="2" t="s">
        <v>46</v>
      </c>
      <c r="B241" s="2" t="s">
        <v>242</v>
      </c>
      <c r="C241" s="10">
        <v>1</v>
      </c>
    </row>
    <row r="242" spans="1:3" x14ac:dyDescent="0.3">
      <c r="A242" s="2" t="s">
        <v>47</v>
      </c>
      <c r="B242" s="2" t="s">
        <v>245</v>
      </c>
      <c r="C242" s="10">
        <v>3</v>
      </c>
    </row>
    <row r="243" spans="1:3" x14ac:dyDescent="0.3">
      <c r="A243" s="2" t="s">
        <v>47</v>
      </c>
      <c r="B243" s="2" t="s">
        <v>250</v>
      </c>
      <c r="C243" s="10">
        <v>1</v>
      </c>
    </row>
    <row r="244" spans="1:3" x14ac:dyDescent="0.3">
      <c r="A244" s="2" t="s">
        <v>47</v>
      </c>
      <c r="B244" s="2" t="s">
        <v>243</v>
      </c>
      <c r="C244" s="10">
        <v>1</v>
      </c>
    </row>
    <row r="245" spans="1:3" x14ac:dyDescent="0.3">
      <c r="A245" s="2" t="s">
        <v>48</v>
      </c>
      <c r="B245" s="2" t="s">
        <v>245</v>
      </c>
      <c r="C245" s="10">
        <v>4</v>
      </c>
    </row>
    <row r="246" spans="1:3" x14ac:dyDescent="0.3">
      <c r="A246" s="2" t="s">
        <v>48</v>
      </c>
      <c r="B246" s="2" t="s">
        <v>246</v>
      </c>
      <c r="C246" s="10">
        <v>5</v>
      </c>
    </row>
    <row r="247" spans="1:3" x14ac:dyDescent="0.3">
      <c r="A247" s="2" t="s">
        <v>48</v>
      </c>
      <c r="B247" s="2" t="s">
        <v>242</v>
      </c>
      <c r="C247" s="10">
        <v>1</v>
      </c>
    </row>
    <row r="248" spans="1:3" x14ac:dyDescent="0.3">
      <c r="A248" s="2" t="s">
        <v>48</v>
      </c>
      <c r="B248" s="2" t="s">
        <v>248</v>
      </c>
      <c r="C248" s="10">
        <v>1</v>
      </c>
    </row>
    <row r="249" spans="1:3" x14ac:dyDescent="0.3">
      <c r="A249" s="2" t="s">
        <v>48</v>
      </c>
      <c r="B249" s="2" t="s">
        <v>244</v>
      </c>
      <c r="C249" s="10">
        <v>1</v>
      </c>
    </row>
    <row r="250" spans="1:3" x14ac:dyDescent="0.3">
      <c r="A250" s="2" t="s">
        <v>49</v>
      </c>
      <c r="B250" s="2" t="s">
        <v>245</v>
      </c>
      <c r="C250" s="10">
        <v>9</v>
      </c>
    </row>
    <row r="251" spans="1:3" x14ac:dyDescent="0.3">
      <c r="A251" s="2" t="s">
        <v>49</v>
      </c>
      <c r="B251" s="2" t="s">
        <v>244</v>
      </c>
      <c r="C251" s="10">
        <v>2</v>
      </c>
    </row>
    <row r="252" spans="1:3" x14ac:dyDescent="0.3">
      <c r="A252" s="2" t="s">
        <v>49</v>
      </c>
      <c r="B252" s="2" t="s">
        <v>246</v>
      </c>
      <c r="C252" s="10">
        <v>4</v>
      </c>
    </row>
    <row r="253" spans="1:3" x14ac:dyDescent="0.3">
      <c r="A253" s="2" t="s">
        <v>49</v>
      </c>
      <c r="B253" s="2" t="s">
        <v>250</v>
      </c>
      <c r="C253" s="10">
        <v>1</v>
      </c>
    </row>
    <row r="254" spans="1:3" x14ac:dyDescent="0.3">
      <c r="A254" s="2" t="s">
        <v>49</v>
      </c>
      <c r="B254" s="2" t="s">
        <v>247</v>
      </c>
      <c r="C254" s="10">
        <v>1</v>
      </c>
    </row>
    <row r="255" spans="1:3" x14ac:dyDescent="0.3">
      <c r="A255" s="2" t="s">
        <v>49</v>
      </c>
      <c r="B255" s="2" t="s">
        <v>243</v>
      </c>
      <c r="C255" s="10">
        <v>1</v>
      </c>
    </row>
    <row r="256" spans="1:3" x14ac:dyDescent="0.3">
      <c r="A256" s="2" t="s">
        <v>50</v>
      </c>
      <c r="B256" s="2" t="s">
        <v>242</v>
      </c>
      <c r="C256" s="10">
        <v>4</v>
      </c>
    </row>
    <row r="257" spans="1:3" x14ac:dyDescent="0.3">
      <c r="A257" s="2" t="s">
        <v>50</v>
      </c>
      <c r="B257" s="2" t="s">
        <v>246</v>
      </c>
      <c r="C257" s="10">
        <v>2</v>
      </c>
    </row>
    <row r="258" spans="1:3" x14ac:dyDescent="0.3">
      <c r="A258" s="2" t="s">
        <v>50</v>
      </c>
      <c r="B258" s="2" t="s">
        <v>245</v>
      </c>
      <c r="C258" s="10">
        <v>1</v>
      </c>
    </row>
    <row r="259" spans="1:3" x14ac:dyDescent="0.3">
      <c r="A259" s="2" t="s">
        <v>50</v>
      </c>
      <c r="B259" s="2" t="s">
        <v>249</v>
      </c>
      <c r="C259" s="10">
        <v>1</v>
      </c>
    </row>
    <row r="260" spans="1:3" x14ac:dyDescent="0.3">
      <c r="A260" s="2" t="s">
        <v>51</v>
      </c>
      <c r="B260" s="2" t="s">
        <v>245</v>
      </c>
      <c r="C260" s="10">
        <v>5</v>
      </c>
    </row>
    <row r="261" spans="1:3" x14ac:dyDescent="0.3">
      <c r="A261" s="2" t="s">
        <v>51</v>
      </c>
      <c r="B261" s="2" t="s">
        <v>246</v>
      </c>
      <c r="C261" s="10">
        <v>2</v>
      </c>
    </row>
    <row r="262" spans="1:3" x14ac:dyDescent="0.3">
      <c r="A262" s="2" t="s">
        <v>51</v>
      </c>
      <c r="B262" s="2" t="s">
        <v>247</v>
      </c>
      <c r="C262" s="10">
        <v>1</v>
      </c>
    </row>
    <row r="263" spans="1:3" x14ac:dyDescent="0.3">
      <c r="A263" s="2" t="s">
        <v>51</v>
      </c>
      <c r="B263" s="2" t="s">
        <v>243</v>
      </c>
      <c r="C263" s="10">
        <v>1</v>
      </c>
    </row>
    <row r="264" spans="1:3" x14ac:dyDescent="0.3">
      <c r="A264" s="2" t="s">
        <v>51</v>
      </c>
      <c r="B264" s="2" t="s">
        <v>244</v>
      </c>
      <c r="C264" s="10">
        <v>1</v>
      </c>
    </row>
    <row r="265" spans="1:3" x14ac:dyDescent="0.3">
      <c r="A265" s="2" t="s">
        <v>52</v>
      </c>
      <c r="B265" s="2" t="s">
        <v>246</v>
      </c>
      <c r="C265" s="10">
        <v>2</v>
      </c>
    </row>
    <row r="266" spans="1:3" x14ac:dyDescent="0.3">
      <c r="A266" s="2" t="s">
        <v>52</v>
      </c>
      <c r="B266" s="2" t="s">
        <v>245</v>
      </c>
      <c r="C266" s="10">
        <v>4</v>
      </c>
    </row>
    <row r="267" spans="1:3" x14ac:dyDescent="0.3">
      <c r="A267" s="2" t="s">
        <v>53</v>
      </c>
      <c r="B267" s="2" t="s">
        <v>245</v>
      </c>
      <c r="C267" s="10">
        <v>5</v>
      </c>
    </row>
    <row r="268" spans="1:3" x14ac:dyDescent="0.3">
      <c r="A268" s="2" t="s">
        <v>53</v>
      </c>
      <c r="B268" s="2" t="s">
        <v>243</v>
      </c>
      <c r="C268" s="10">
        <v>1</v>
      </c>
    </row>
    <row r="269" spans="1:3" x14ac:dyDescent="0.3">
      <c r="A269" s="2" t="s">
        <v>53</v>
      </c>
      <c r="B269" s="2" t="s">
        <v>246</v>
      </c>
      <c r="C269" s="10">
        <v>2</v>
      </c>
    </row>
    <row r="270" spans="1:3" x14ac:dyDescent="0.3">
      <c r="A270" s="2" t="s">
        <v>53</v>
      </c>
      <c r="B270" s="2" t="s">
        <v>248</v>
      </c>
      <c r="C270" s="10">
        <v>1</v>
      </c>
    </row>
    <row r="271" spans="1:3" x14ac:dyDescent="0.3">
      <c r="A271" s="2" t="s">
        <v>54</v>
      </c>
      <c r="B271" s="2" t="s">
        <v>242</v>
      </c>
      <c r="C271" s="10">
        <v>1</v>
      </c>
    </row>
    <row r="272" spans="1:3" x14ac:dyDescent="0.3">
      <c r="A272" s="2" t="s">
        <v>54</v>
      </c>
      <c r="B272" s="2" t="s">
        <v>243</v>
      </c>
      <c r="C272" s="10">
        <v>5</v>
      </c>
    </row>
    <row r="273" spans="1:3" x14ac:dyDescent="0.3">
      <c r="A273" s="2" t="s">
        <v>54</v>
      </c>
      <c r="B273" s="2" t="s">
        <v>245</v>
      </c>
      <c r="C273" s="10">
        <v>2</v>
      </c>
    </row>
    <row r="274" spans="1:3" x14ac:dyDescent="0.3">
      <c r="A274" s="2" t="s">
        <v>54</v>
      </c>
      <c r="B274" s="2" t="s">
        <v>246</v>
      </c>
      <c r="C274" s="10">
        <v>4</v>
      </c>
    </row>
    <row r="275" spans="1:3" x14ac:dyDescent="0.3">
      <c r="A275" s="2" t="s">
        <v>54</v>
      </c>
      <c r="B275" s="2" t="s">
        <v>244</v>
      </c>
      <c r="C275" s="10">
        <v>3</v>
      </c>
    </row>
    <row r="276" spans="1:3" x14ac:dyDescent="0.3">
      <c r="A276" s="2" t="s">
        <v>55</v>
      </c>
      <c r="B276" s="2" t="s">
        <v>244</v>
      </c>
      <c r="C276" s="10">
        <v>1</v>
      </c>
    </row>
    <row r="277" spans="1:3" x14ac:dyDescent="0.3">
      <c r="A277" s="2" t="s">
        <v>55</v>
      </c>
      <c r="B277" s="2" t="s">
        <v>242</v>
      </c>
      <c r="C277" s="10">
        <v>1</v>
      </c>
    </row>
    <row r="278" spans="1:3" x14ac:dyDescent="0.3">
      <c r="A278" s="2" t="s">
        <v>55</v>
      </c>
      <c r="B278" s="2" t="s">
        <v>245</v>
      </c>
      <c r="C278" s="10">
        <v>3</v>
      </c>
    </row>
    <row r="279" spans="1:3" x14ac:dyDescent="0.3">
      <c r="A279" s="2" t="s">
        <v>55</v>
      </c>
      <c r="B279" s="2" t="s">
        <v>246</v>
      </c>
      <c r="C279" s="10">
        <v>1</v>
      </c>
    </row>
    <row r="280" spans="1:3" x14ac:dyDescent="0.3">
      <c r="A280" s="2" t="s">
        <v>55</v>
      </c>
      <c r="B280" s="2" t="s">
        <v>247</v>
      </c>
      <c r="C280" s="10">
        <v>1</v>
      </c>
    </row>
    <row r="281" spans="1:3" x14ac:dyDescent="0.3">
      <c r="A281" s="2" t="s">
        <v>56</v>
      </c>
      <c r="B281" s="2" t="s">
        <v>247</v>
      </c>
      <c r="C281" s="10">
        <v>6</v>
      </c>
    </row>
    <row r="282" spans="1:3" x14ac:dyDescent="0.3">
      <c r="A282" s="2" t="s">
        <v>56</v>
      </c>
      <c r="B282" s="2" t="s">
        <v>245</v>
      </c>
      <c r="C282" s="10">
        <v>10</v>
      </c>
    </row>
    <row r="283" spans="1:3" x14ac:dyDescent="0.3">
      <c r="A283" s="2" t="s">
        <v>56</v>
      </c>
      <c r="B283" s="2" t="s">
        <v>246</v>
      </c>
      <c r="C283" s="10">
        <v>2</v>
      </c>
    </row>
    <row r="284" spans="1:3" x14ac:dyDescent="0.3">
      <c r="A284" s="2" t="s">
        <v>56</v>
      </c>
      <c r="B284" s="2" t="s">
        <v>244</v>
      </c>
      <c r="C284" s="10">
        <v>1</v>
      </c>
    </row>
    <row r="285" spans="1:3" x14ac:dyDescent="0.3">
      <c r="A285" s="2" t="s">
        <v>56</v>
      </c>
      <c r="B285" s="2" t="s">
        <v>242</v>
      </c>
      <c r="C285" s="10">
        <v>1</v>
      </c>
    </row>
    <row r="286" spans="1:3" x14ac:dyDescent="0.3">
      <c r="A286" s="2" t="s">
        <v>57</v>
      </c>
      <c r="B286" s="2" t="s">
        <v>246</v>
      </c>
      <c r="C286" s="10">
        <v>15</v>
      </c>
    </row>
    <row r="287" spans="1:3" x14ac:dyDescent="0.3">
      <c r="A287" s="2" t="s">
        <v>57</v>
      </c>
      <c r="B287" s="2" t="s">
        <v>245</v>
      </c>
      <c r="C287" s="10">
        <v>15</v>
      </c>
    </row>
    <row r="288" spans="1:3" x14ac:dyDescent="0.3">
      <c r="A288" s="2" t="s">
        <v>57</v>
      </c>
      <c r="B288" s="2" t="s">
        <v>243</v>
      </c>
      <c r="C288" s="10">
        <v>1</v>
      </c>
    </row>
    <row r="289" spans="1:3" x14ac:dyDescent="0.3">
      <c r="A289" s="2" t="s">
        <v>57</v>
      </c>
      <c r="B289" s="2" t="s">
        <v>242</v>
      </c>
      <c r="C289" s="10">
        <v>5</v>
      </c>
    </row>
    <row r="290" spans="1:3" x14ac:dyDescent="0.3">
      <c r="A290" s="2" t="s">
        <v>57</v>
      </c>
      <c r="B290" s="2" t="s">
        <v>249</v>
      </c>
      <c r="C290" s="10">
        <v>1</v>
      </c>
    </row>
    <row r="291" spans="1:3" x14ac:dyDescent="0.3">
      <c r="A291" s="2" t="s">
        <v>57</v>
      </c>
      <c r="B291" s="2" t="s">
        <v>244</v>
      </c>
      <c r="C291" s="10">
        <v>2</v>
      </c>
    </row>
    <row r="292" spans="1:3" x14ac:dyDescent="0.3">
      <c r="A292" s="2" t="s">
        <v>57</v>
      </c>
      <c r="B292" s="2" t="s">
        <v>248</v>
      </c>
      <c r="C292" s="10">
        <v>2</v>
      </c>
    </row>
    <row r="293" spans="1:3" x14ac:dyDescent="0.3">
      <c r="A293" s="2" t="s">
        <v>58</v>
      </c>
      <c r="B293" s="2" t="s">
        <v>243</v>
      </c>
      <c r="C293" s="10">
        <v>6</v>
      </c>
    </row>
    <row r="294" spans="1:3" x14ac:dyDescent="0.3">
      <c r="A294" s="2" t="s">
        <v>58</v>
      </c>
      <c r="B294" s="2" t="s">
        <v>245</v>
      </c>
      <c r="C294" s="10">
        <v>72</v>
      </c>
    </row>
    <row r="295" spans="1:3" x14ac:dyDescent="0.3">
      <c r="A295" s="2" t="s">
        <v>58</v>
      </c>
      <c r="B295" s="2" t="s">
        <v>246</v>
      </c>
      <c r="C295" s="10">
        <v>24</v>
      </c>
    </row>
    <row r="296" spans="1:3" x14ac:dyDescent="0.3">
      <c r="A296" s="2" t="s">
        <v>58</v>
      </c>
      <c r="B296" s="2" t="s">
        <v>244</v>
      </c>
      <c r="C296" s="10">
        <v>11</v>
      </c>
    </row>
    <row r="297" spans="1:3" x14ac:dyDescent="0.3">
      <c r="A297" s="2" t="s">
        <v>58</v>
      </c>
      <c r="B297" s="2" t="s">
        <v>255</v>
      </c>
      <c r="C297" s="10">
        <v>2</v>
      </c>
    </row>
    <row r="298" spans="1:3" x14ac:dyDescent="0.3">
      <c r="A298" s="2" t="s">
        <v>58</v>
      </c>
      <c r="B298" s="2" t="s">
        <v>250</v>
      </c>
      <c r="C298" s="10">
        <v>2</v>
      </c>
    </row>
    <row r="299" spans="1:3" x14ac:dyDescent="0.3">
      <c r="A299" s="2" t="s">
        <v>58</v>
      </c>
      <c r="B299" s="2" t="s">
        <v>247</v>
      </c>
      <c r="C299" s="10">
        <v>9</v>
      </c>
    </row>
    <row r="300" spans="1:3" x14ac:dyDescent="0.3">
      <c r="A300" s="2" t="s">
        <v>58</v>
      </c>
      <c r="B300" s="2" t="s">
        <v>253</v>
      </c>
      <c r="C300" s="10">
        <v>1</v>
      </c>
    </row>
    <row r="301" spans="1:3" x14ac:dyDescent="0.3">
      <c r="A301" s="2" t="s">
        <v>58</v>
      </c>
      <c r="B301" s="2" t="s">
        <v>252</v>
      </c>
      <c r="C301" s="10">
        <v>1</v>
      </c>
    </row>
    <row r="302" spans="1:3" x14ac:dyDescent="0.3">
      <c r="A302" s="2" t="s">
        <v>59</v>
      </c>
      <c r="B302" s="2" t="s">
        <v>243</v>
      </c>
      <c r="C302" s="10">
        <v>5</v>
      </c>
    </row>
    <row r="303" spans="1:3" x14ac:dyDescent="0.3">
      <c r="A303" s="2" t="s">
        <v>59</v>
      </c>
      <c r="B303" s="2" t="s">
        <v>245</v>
      </c>
      <c r="C303" s="10">
        <v>7</v>
      </c>
    </row>
    <row r="304" spans="1:3" x14ac:dyDescent="0.3">
      <c r="A304" s="2" t="s">
        <v>59</v>
      </c>
      <c r="B304" s="2" t="s">
        <v>244</v>
      </c>
      <c r="C304" s="10">
        <v>2</v>
      </c>
    </row>
    <row r="305" spans="1:3" x14ac:dyDescent="0.3">
      <c r="A305" s="2" t="s">
        <v>59</v>
      </c>
      <c r="B305" s="2" t="s">
        <v>246</v>
      </c>
      <c r="C305" s="10">
        <v>1</v>
      </c>
    </row>
    <row r="306" spans="1:3" x14ac:dyDescent="0.3">
      <c r="A306" s="2" t="s">
        <v>59</v>
      </c>
      <c r="B306" s="2" t="s">
        <v>247</v>
      </c>
      <c r="C306" s="10">
        <v>1</v>
      </c>
    </row>
    <row r="307" spans="1:3" x14ac:dyDescent="0.3">
      <c r="A307" s="2" t="s">
        <v>60</v>
      </c>
      <c r="B307" s="2" t="s">
        <v>245</v>
      </c>
      <c r="C307" s="10">
        <v>3</v>
      </c>
    </row>
    <row r="308" spans="1:3" x14ac:dyDescent="0.3">
      <c r="A308" s="2" t="s">
        <v>60</v>
      </c>
      <c r="B308" s="2" t="s">
        <v>244</v>
      </c>
      <c r="C308" s="10">
        <v>1</v>
      </c>
    </row>
    <row r="309" spans="1:3" x14ac:dyDescent="0.3">
      <c r="A309" s="2" t="s">
        <v>60</v>
      </c>
      <c r="B309" s="2" t="s">
        <v>242</v>
      </c>
      <c r="C309" s="10">
        <v>1</v>
      </c>
    </row>
    <row r="310" spans="1:3" x14ac:dyDescent="0.3">
      <c r="A310" s="2" t="s">
        <v>17</v>
      </c>
      <c r="B310" s="2" t="s">
        <v>243</v>
      </c>
      <c r="C310" s="10">
        <v>20</v>
      </c>
    </row>
    <row r="311" spans="1:3" x14ac:dyDescent="0.3">
      <c r="A311" s="2" t="s">
        <v>17</v>
      </c>
      <c r="B311" s="2" t="s">
        <v>245</v>
      </c>
      <c r="C311" s="10">
        <v>60</v>
      </c>
    </row>
    <row r="312" spans="1:3" x14ac:dyDescent="0.3">
      <c r="A312" s="2" t="s">
        <v>17</v>
      </c>
      <c r="B312" s="2" t="s">
        <v>254</v>
      </c>
      <c r="C312" s="10">
        <v>29</v>
      </c>
    </row>
    <row r="313" spans="1:3" x14ac:dyDescent="0.3">
      <c r="A313" s="2" t="s">
        <v>17</v>
      </c>
      <c r="B313" s="2" t="s">
        <v>246</v>
      </c>
      <c r="C313" s="10">
        <v>21</v>
      </c>
    </row>
    <row r="314" spans="1:3" x14ac:dyDescent="0.3">
      <c r="A314" s="2" t="s">
        <v>17</v>
      </c>
      <c r="B314" s="2" t="s">
        <v>244</v>
      </c>
      <c r="C314" s="10">
        <v>20</v>
      </c>
    </row>
    <row r="315" spans="1:3" x14ac:dyDescent="0.3">
      <c r="A315" s="2" t="s">
        <v>17</v>
      </c>
      <c r="B315" s="2" t="s">
        <v>247</v>
      </c>
      <c r="C315" s="10">
        <v>25</v>
      </c>
    </row>
    <row r="316" spans="1:3" x14ac:dyDescent="0.3">
      <c r="A316" s="2" t="s">
        <v>17</v>
      </c>
      <c r="B316" s="2" t="s">
        <v>250</v>
      </c>
      <c r="C316" s="10">
        <v>3</v>
      </c>
    </row>
    <row r="317" spans="1:3" x14ac:dyDescent="0.3">
      <c r="A317" s="2" t="s">
        <v>17</v>
      </c>
      <c r="B317" s="2" t="s">
        <v>249</v>
      </c>
      <c r="C317" s="10">
        <v>1</v>
      </c>
    </row>
    <row r="318" spans="1:3" x14ac:dyDescent="0.3">
      <c r="A318" s="2" t="s">
        <v>17</v>
      </c>
      <c r="B318" s="2" t="s">
        <v>242</v>
      </c>
      <c r="C318" s="10">
        <v>3</v>
      </c>
    </row>
    <row r="319" spans="1:3" x14ac:dyDescent="0.3">
      <c r="A319" s="2" t="s">
        <v>17</v>
      </c>
      <c r="B319" s="2" t="s">
        <v>248</v>
      </c>
      <c r="C319" s="10">
        <v>1</v>
      </c>
    </row>
    <row r="320" spans="1:3" x14ac:dyDescent="0.3">
      <c r="A320" s="2" t="s">
        <v>17</v>
      </c>
      <c r="B320" s="2" t="s">
        <v>253</v>
      </c>
      <c r="C320" s="10">
        <v>1</v>
      </c>
    </row>
    <row r="321" spans="1:3" x14ac:dyDescent="0.3">
      <c r="A321" s="2" t="s">
        <v>63</v>
      </c>
      <c r="B321" s="2" t="s">
        <v>245</v>
      </c>
      <c r="C321" s="10">
        <v>16</v>
      </c>
    </row>
    <row r="322" spans="1:3" x14ac:dyDescent="0.3">
      <c r="A322" s="2" t="s">
        <v>63</v>
      </c>
      <c r="B322" s="2" t="s">
        <v>243</v>
      </c>
      <c r="C322" s="10">
        <v>16</v>
      </c>
    </row>
    <row r="323" spans="1:3" x14ac:dyDescent="0.3">
      <c r="A323" s="2" t="s">
        <v>63</v>
      </c>
      <c r="B323" s="2" t="s">
        <v>247</v>
      </c>
      <c r="C323" s="10">
        <v>3</v>
      </c>
    </row>
    <row r="324" spans="1:3" x14ac:dyDescent="0.3">
      <c r="A324" s="2" t="s">
        <v>63</v>
      </c>
      <c r="B324" s="2" t="s">
        <v>246</v>
      </c>
      <c r="C324" s="10">
        <v>17</v>
      </c>
    </row>
    <row r="325" spans="1:3" x14ac:dyDescent="0.3">
      <c r="A325" s="2" t="s">
        <v>63</v>
      </c>
      <c r="B325" s="2" t="s">
        <v>256</v>
      </c>
      <c r="C325" s="10">
        <v>1</v>
      </c>
    </row>
    <row r="326" spans="1:3" x14ac:dyDescent="0.3">
      <c r="A326" s="2" t="s">
        <v>63</v>
      </c>
      <c r="B326" s="2" t="s">
        <v>242</v>
      </c>
      <c r="C326" s="10">
        <v>6</v>
      </c>
    </row>
    <row r="327" spans="1:3" x14ac:dyDescent="0.3">
      <c r="A327" s="2" t="s">
        <v>63</v>
      </c>
      <c r="B327" s="2" t="s">
        <v>248</v>
      </c>
      <c r="C327" s="10">
        <v>1</v>
      </c>
    </row>
    <row r="328" spans="1:3" x14ac:dyDescent="0.3">
      <c r="A328" s="2" t="s">
        <v>63</v>
      </c>
      <c r="B328" s="2" t="s">
        <v>244</v>
      </c>
      <c r="C328" s="10">
        <v>3</v>
      </c>
    </row>
    <row r="329" spans="1:3" x14ac:dyDescent="0.3">
      <c r="A329" s="2" t="s">
        <v>65</v>
      </c>
      <c r="B329" s="2" t="s">
        <v>242</v>
      </c>
      <c r="C329" s="10">
        <v>1</v>
      </c>
    </row>
    <row r="330" spans="1:3" x14ac:dyDescent="0.3">
      <c r="A330" s="2" t="s">
        <v>65</v>
      </c>
      <c r="B330" s="2" t="s">
        <v>245</v>
      </c>
      <c r="C330" s="10">
        <v>5</v>
      </c>
    </row>
    <row r="331" spans="1:3" x14ac:dyDescent="0.3">
      <c r="A331" s="2" t="s">
        <v>65</v>
      </c>
      <c r="B331" s="2" t="s">
        <v>246</v>
      </c>
      <c r="C331" s="10">
        <v>1</v>
      </c>
    </row>
    <row r="332" spans="1:3" x14ac:dyDescent="0.3">
      <c r="A332" s="2" t="s">
        <v>65</v>
      </c>
      <c r="B332" s="2" t="s">
        <v>243</v>
      </c>
      <c r="C332" s="10">
        <v>1</v>
      </c>
    </row>
    <row r="333" spans="1:3" x14ac:dyDescent="0.3">
      <c r="A333" s="2" t="s">
        <v>66</v>
      </c>
      <c r="B333" s="2" t="s">
        <v>244</v>
      </c>
      <c r="C333" s="10">
        <v>6</v>
      </c>
    </row>
    <row r="334" spans="1:3" x14ac:dyDescent="0.3">
      <c r="A334" s="2" t="s">
        <v>66</v>
      </c>
      <c r="B334" s="2" t="s">
        <v>242</v>
      </c>
      <c r="C334" s="10">
        <v>1</v>
      </c>
    </row>
    <row r="335" spans="1:3" x14ac:dyDescent="0.3">
      <c r="A335" s="2" t="s">
        <v>66</v>
      </c>
      <c r="B335" s="2" t="s">
        <v>245</v>
      </c>
      <c r="C335" s="10">
        <v>6</v>
      </c>
    </row>
    <row r="336" spans="1:3" x14ac:dyDescent="0.3">
      <c r="A336" s="2" t="s">
        <v>66</v>
      </c>
      <c r="B336" s="2" t="s">
        <v>247</v>
      </c>
      <c r="C336" s="10">
        <v>1</v>
      </c>
    </row>
    <row r="337" spans="1:3" x14ac:dyDescent="0.3">
      <c r="A337" s="2" t="s">
        <v>66</v>
      </c>
      <c r="B337" s="2" t="s">
        <v>243</v>
      </c>
      <c r="C337" s="10">
        <v>2</v>
      </c>
    </row>
    <row r="338" spans="1:3" x14ac:dyDescent="0.3">
      <c r="A338" s="2" t="s">
        <v>66</v>
      </c>
      <c r="B338" s="2" t="s">
        <v>246</v>
      </c>
      <c r="C338" s="10">
        <v>1</v>
      </c>
    </row>
    <row r="339" spans="1:3" x14ac:dyDescent="0.3">
      <c r="A339" s="2" t="s">
        <v>67</v>
      </c>
      <c r="B339" s="2" t="s">
        <v>245</v>
      </c>
      <c r="C339" s="10">
        <v>1</v>
      </c>
    </row>
    <row r="340" spans="1:3" x14ac:dyDescent="0.3">
      <c r="A340" s="2" t="s">
        <v>67</v>
      </c>
      <c r="B340" s="2" t="s">
        <v>247</v>
      </c>
      <c r="C340" s="10">
        <v>2</v>
      </c>
    </row>
    <row r="341" spans="1:3" x14ac:dyDescent="0.3">
      <c r="A341" s="2" t="s">
        <v>67</v>
      </c>
      <c r="B341" s="2" t="s">
        <v>246</v>
      </c>
      <c r="C341" s="10">
        <v>1</v>
      </c>
    </row>
    <row r="342" spans="1:3" x14ac:dyDescent="0.3">
      <c r="A342" s="2" t="s">
        <v>68</v>
      </c>
      <c r="B342" s="2" t="s">
        <v>248</v>
      </c>
      <c r="C342" s="10">
        <v>1</v>
      </c>
    </row>
    <row r="343" spans="1:3" x14ac:dyDescent="0.3">
      <c r="A343" s="2" t="s">
        <v>68</v>
      </c>
      <c r="B343" s="2" t="s">
        <v>246</v>
      </c>
      <c r="C343" s="10">
        <v>2</v>
      </c>
    </row>
    <row r="344" spans="1:3" x14ac:dyDescent="0.3">
      <c r="A344" s="2" t="s">
        <v>68</v>
      </c>
      <c r="B344" s="2" t="s">
        <v>243</v>
      </c>
      <c r="C344" s="10">
        <v>1</v>
      </c>
    </row>
    <row r="345" spans="1:3" x14ac:dyDescent="0.3">
      <c r="A345" s="2" t="s">
        <v>69</v>
      </c>
      <c r="B345" s="2" t="s">
        <v>245</v>
      </c>
      <c r="C345" s="10">
        <v>14</v>
      </c>
    </row>
    <row r="346" spans="1:3" x14ac:dyDescent="0.3">
      <c r="A346" s="2" t="s">
        <v>69</v>
      </c>
      <c r="B346" s="2" t="s">
        <v>242</v>
      </c>
      <c r="C346" s="10">
        <v>1</v>
      </c>
    </row>
    <row r="347" spans="1:3" x14ac:dyDescent="0.3">
      <c r="A347" s="2" t="s">
        <v>69</v>
      </c>
      <c r="B347" s="2" t="s">
        <v>246</v>
      </c>
      <c r="C347" s="10">
        <v>1</v>
      </c>
    </row>
    <row r="348" spans="1:3" x14ac:dyDescent="0.3">
      <c r="A348" s="2" t="s">
        <v>69</v>
      </c>
      <c r="B348" s="2" t="s">
        <v>244</v>
      </c>
      <c r="C348" s="10">
        <v>5</v>
      </c>
    </row>
    <row r="349" spans="1:3" x14ac:dyDescent="0.3">
      <c r="A349" s="2" t="s">
        <v>69</v>
      </c>
      <c r="B349" s="2" t="s">
        <v>248</v>
      </c>
      <c r="C349" s="10">
        <v>1</v>
      </c>
    </row>
    <row r="350" spans="1:3" x14ac:dyDescent="0.3">
      <c r="A350" s="2" t="s">
        <v>69</v>
      </c>
      <c r="B350" s="2" t="s">
        <v>243</v>
      </c>
      <c r="C350" s="10">
        <v>1</v>
      </c>
    </row>
    <row r="351" spans="1:3" x14ac:dyDescent="0.3">
      <c r="A351" s="2" t="s">
        <v>69</v>
      </c>
      <c r="B351" s="2" t="s">
        <v>247</v>
      </c>
      <c r="C351" s="10">
        <v>1</v>
      </c>
    </row>
    <row r="352" spans="1:3" x14ac:dyDescent="0.3">
      <c r="A352" s="2" t="s">
        <v>70</v>
      </c>
      <c r="B352" s="2" t="s">
        <v>242</v>
      </c>
      <c r="C352" s="10">
        <v>1</v>
      </c>
    </row>
    <row r="353" spans="1:3" x14ac:dyDescent="0.3">
      <c r="A353" s="2" t="s">
        <v>70</v>
      </c>
      <c r="B353" s="2" t="s">
        <v>244</v>
      </c>
      <c r="C353" s="10">
        <v>1</v>
      </c>
    </row>
    <row r="354" spans="1:3" x14ac:dyDescent="0.3">
      <c r="A354" s="2" t="s">
        <v>70</v>
      </c>
      <c r="B354" s="2" t="s">
        <v>246</v>
      </c>
      <c r="C354" s="10">
        <v>1</v>
      </c>
    </row>
    <row r="355" spans="1:3" x14ac:dyDescent="0.3">
      <c r="A355" s="2" t="s">
        <v>71</v>
      </c>
      <c r="B355" s="2" t="s">
        <v>244</v>
      </c>
      <c r="C355" s="10">
        <v>1</v>
      </c>
    </row>
    <row r="356" spans="1:3" x14ac:dyDescent="0.3">
      <c r="A356" s="2" t="s">
        <v>71</v>
      </c>
      <c r="B356" s="2" t="s">
        <v>246</v>
      </c>
      <c r="C356" s="10">
        <v>3</v>
      </c>
    </row>
    <row r="357" spans="1:3" x14ac:dyDescent="0.3">
      <c r="A357" s="2" t="s">
        <v>71</v>
      </c>
      <c r="B357" s="2" t="s">
        <v>245</v>
      </c>
      <c r="C357" s="10">
        <v>3</v>
      </c>
    </row>
    <row r="358" spans="1:3" x14ac:dyDescent="0.3">
      <c r="A358" s="2" t="s">
        <v>71</v>
      </c>
      <c r="B358" s="2" t="s">
        <v>243</v>
      </c>
      <c r="C358" s="10">
        <v>1</v>
      </c>
    </row>
    <row r="359" spans="1:3" x14ac:dyDescent="0.3">
      <c r="A359" s="2" t="s">
        <v>72</v>
      </c>
      <c r="B359" s="2" t="s">
        <v>245</v>
      </c>
      <c r="C359" s="10">
        <v>3</v>
      </c>
    </row>
    <row r="360" spans="1:3" x14ac:dyDescent="0.3">
      <c r="A360" s="2" t="s">
        <v>72</v>
      </c>
      <c r="B360" s="2" t="s">
        <v>242</v>
      </c>
      <c r="C360" s="10">
        <v>1</v>
      </c>
    </row>
    <row r="361" spans="1:3" x14ac:dyDescent="0.3">
      <c r="A361" s="2" t="s">
        <v>72</v>
      </c>
      <c r="B361" s="2" t="s">
        <v>246</v>
      </c>
      <c r="C361" s="10">
        <v>1</v>
      </c>
    </row>
    <row r="362" spans="1:3" x14ac:dyDescent="0.3">
      <c r="A362" s="2" t="s">
        <v>72</v>
      </c>
      <c r="B362" s="2" t="s">
        <v>244</v>
      </c>
      <c r="C362" s="10">
        <v>1</v>
      </c>
    </row>
    <row r="363" spans="1:3" x14ac:dyDescent="0.3">
      <c r="A363" s="2" t="s">
        <v>73</v>
      </c>
      <c r="B363" s="2" t="s">
        <v>244</v>
      </c>
      <c r="C363" s="10">
        <v>1</v>
      </c>
    </row>
    <row r="364" spans="1:3" x14ac:dyDescent="0.3">
      <c r="A364" s="2" t="s">
        <v>73</v>
      </c>
      <c r="B364" s="2" t="s">
        <v>247</v>
      </c>
      <c r="C364" s="10">
        <v>2</v>
      </c>
    </row>
    <row r="365" spans="1:3" x14ac:dyDescent="0.3">
      <c r="A365" s="2" t="s">
        <v>73</v>
      </c>
      <c r="B365" s="2" t="s">
        <v>245</v>
      </c>
      <c r="C365" s="10">
        <v>1</v>
      </c>
    </row>
    <row r="366" spans="1:3" x14ac:dyDescent="0.3">
      <c r="A366" s="2" t="s">
        <v>73</v>
      </c>
      <c r="B366" s="2" t="s">
        <v>242</v>
      </c>
      <c r="C366" s="10">
        <v>1</v>
      </c>
    </row>
    <row r="367" spans="1:3" x14ac:dyDescent="0.3">
      <c r="A367" s="2" t="s">
        <v>74</v>
      </c>
      <c r="B367" s="2" t="s">
        <v>242</v>
      </c>
      <c r="C367" s="10">
        <v>3</v>
      </c>
    </row>
    <row r="368" spans="1:3" x14ac:dyDescent="0.3">
      <c r="A368" s="2" t="s">
        <v>74</v>
      </c>
      <c r="B368" s="2" t="s">
        <v>243</v>
      </c>
      <c r="C368" s="10">
        <v>10</v>
      </c>
    </row>
    <row r="369" spans="1:3" x14ac:dyDescent="0.3">
      <c r="A369" s="2" t="s">
        <v>74</v>
      </c>
      <c r="B369" s="2" t="s">
        <v>246</v>
      </c>
      <c r="C369" s="10">
        <v>4</v>
      </c>
    </row>
    <row r="370" spans="1:3" x14ac:dyDescent="0.3">
      <c r="A370" s="2" t="s">
        <v>74</v>
      </c>
      <c r="B370" s="2" t="s">
        <v>245</v>
      </c>
      <c r="C370" s="10">
        <v>12</v>
      </c>
    </row>
    <row r="371" spans="1:3" x14ac:dyDescent="0.3">
      <c r="A371" s="2" t="s">
        <v>74</v>
      </c>
      <c r="B371" s="2" t="s">
        <v>247</v>
      </c>
      <c r="C371" s="10">
        <v>1</v>
      </c>
    </row>
    <row r="372" spans="1:3" x14ac:dyDescent="0.3">
      <c r="A372" s="2" t="s">
        <v>74</v>
      </c>
      <c r="B372" s="2" t="s">
        <v>248</v>
      </c>
      <c r="C372" s="10">
        <v>1</v>
      </c>
    </row>
    <row r="373" spans="1:3" x14ac:dyDescent="0.3">
      <c r="A373" s="2" t="s">
        <v>74</v>
      </c>
      <c r="B373" s="2" t="s">
        <v>253</v>
      </c>
      <c r="C373" s="10">
        <v>1</v>
      </c>
    </row>
    <row r="374" spans="1:3" x14ac:dyDescent="0.3">
      <c r="A374" s="2" t="s">
        <v>74</v>
      </c>
      <c r="B374" s="2" t="s">
        <v>244</v>
      </c>
      <c r="C374" s="10">
        <v>3</v>
      </c>
    </row>
    <row r="375" spans="1:3" x14ac:dyDescent="0.3">
      <c r="A375" s="2" t="s">
        <v>75</v>
      </c>
      <c r="B375" s="2" t="s">
        <v>245</v>
      </c>
      <c r="C375" s="10">
        <v>23</v>
      </c>
    </row>
    <row r="376" spans="1:3" x14ac:dyDescent="0.3">
      <c r="A376" s="2" t="s">
        <v>75</v>
      </c>
      <c r="B376" s="2" t="s">
        <v>243</v>
      </c>
      <c r="C376" s="10">
        <v>7</v>
      </c>
    </row>
    <row r="377" spans="1:3" x14ac:dyDescent="0.3">
      <c r="A377" s="2" t="s">
        <v>75</v>
      </c>
      <c r="B377" s="2" t="s">
        <v>247</v>
      </c>
      <c r="C377" s="10">
        <v>4</v>
      </c>
    </row>
    <row r="378" spans="1:3" x14ac:dyDescent="0.3">
      <c r="A378" s="2" t="s">
        <v>75</v>
      </c>
      <c r="B378" s="2" t="s">
        <v>246</v>
      </c>
      <c r="C378" s="10">
        <v>3</v>
      </c>
    </row>
    <row r="379" spans="1:3" x14ac:dyDescent="0.3">
      <c r="A379" s="2" t="s">
        <v>75</v>
      </c>
      <c r="B379" s="2" t="s">
        <v>249</v>
      </c>
      <c r="C379" s="10">
        <v>1</v>
      </c>
    </row>
    <row r="380" spans="1:3" x14ac:dyDescent="0.3">
      <c r="A380" s="2" t="s">
        <v>75</v>
      </c>
      <c r="B380" s="2" t="s">
        <v>248</v>
      </c>
      <c r="C380" s="10">
        <v>1</v>
      </c>
    </row>
    <row r="381" spans="1:3" x14ac:dyDescent="0.3">
      <c r="A381" s="2" t="s">
        <v>75</v>
      </c>
      <c r="B381" s="2" t="s">
        <v>255</v>
      </c>
      <c r="C381" s="10">
        <v>1</v>
      </c>
    </row>
    <row r="382" spans="1:3" x14ac:dyDescent="0.3">
      <c r="A382" s="2" t="s">
        <v>76</v>
      </c>
      <c r="B382" s="2" t="s">
        <v>245</v>
      </c>
      <c r="C382" s="10">
        <v>20</v>
      </c>
    </row>
    <row r="383" spans="1:3" x14ac:dyDescent="0.3">
      <c r="A383" s="2" t="s">
        <v>76</v>
      </c>
      <c r="B383" s="2" t="s">
        <v>246</v>
      </c>
      <c r="C383" s="10">
        <v>18</v>
      </c>
    </row>
    <row r="384" spans="1:3" x14ac:dyDescent="0.3">
      <c r="A384" s="2" t="s">
        <v>76</v>
      </c>
      <c r="B384" s="2" t="s">
        <v>242</v>
      </c>
      <c r="C384" s="10">
        <v>5</v>
      </c>
    </row>
    <row r="385" spans="1:3" x14ac:dyDescent="0.3">
      <c r="A385" s="2" t="s">
        <v>76</v>
      </c>
      <c r="B385" s="2" t="s">
        <v>243</v>
      </c>
      <c r="C385" s="10">
        <v>5</v>
      </c>
    </row>
    <row r="386" spans="1:3" x14ac:dyDescent="0.3">
      <c r="A386" s="2" t="s">
        <v>76</v>
      </c>
      <c r="B386" s="2" t="s">
        <v>248</v>
      </c>
      <c r="C386" s="10">
        <v>2</v>
      </c>
    </row>
    <row r="387" spans="1:3" x14ac:dyDescent="0.3">
      <c r="A387" s="2" t="s">
        <v>76</v>
      </c>
      <c r="B387" s="2" t="s">
        <v>247</v>
      </c>
      <c r="C387" s="10">
        <v>9</v>
      </c>
    </row>
    <row r="388" spans="1:3" x14ac:dyDescent="0.3">
      <c r="A388" s="2" t="s">
        <v>76</v>
      </c>
      <c r="B388" s="2" t="s">
        <v>244</v>
      </c>
      <c r="C388" s="10">
        <v>10</v>
      </c>
    </row>
    <row r="389" spans="1:3" x14ac:dyDescent="0.3">
      <c r="A389" s="2" t="s">
        <v>76</v>
      </c>
      <c r="B389" s="2" t="s">
        <v>249</v>
      </c>
      <c r="C389" s="10">
        <v>1</v>
      </c>
    </row>
    <row r="390" spans="1:3" x14ac:dyDescent="0.3">
      <c r="A390" s="2" t="s">
        <v>62</v>
      </c>
      <c r="B390" s="2" t="s">
        <v>245</v>
      </c>
      <c r="C390" s="10">
        <v>9</v>
      </c>
    </row>
    <row r="391" spans="1:3" x14ac:dyDescent="0.3">
      <c r="A391" s="2" t="s">
        <v>62</v>
      </c>
      <c r="B391" s="2" t="s">
        <v>247</v>
      </c>
      <c r="C391" s="10">
        <v>9</v>
      </c>
    </row>
    <row r="392" spans="1:3" x14ac:dyDescent="0.3">
      <c r="A392" s="2" t="s">
        <v>62</v>
      </c>
      <c r="B392" s="2" t="s">
        <v>244</v>
      </c>
      <c r="C392" s="10">
        <v>3</v>
      </c>
    </row>
    <row r="393" spans="1:3" x14ac:dyDescent="0.3">
      <c r="A393" s="2" t="s">
        <v>62</v>
      </c>
      <c r="B393" s="2" t="s">
        <v>253</v>
      </c>
      <c r="C393" s="10">
        <v>1</v>
      </c>
    </row>
    <row r="394" spans="1:3" x14ac:dyDescent="0.3">
      <c r="A394" s="2" t="s">
        <v>62</v>
      </c>
      <c r="B394" s="2" t="s">
        <v>254</v>
      </c>
      <c r="C394" s="10">
        <v>25</v>
      </c>
    </row>
    <row r="395" spans="1:3" x14ac:dyDescent="0.3">
      <c r="A395" s="2" t="s">
        <v>62</v>
      </c>
      <c r="B395" s="2" t="s">
        <v>243</v>
      </c>
      <c r="C395" s="10">
        <v>2</v>
      </c>
    </row>
    <row r="396" spans="1:3" x14ac:dyDescent="0.3">
      <c r="A396" s="2" t="s">
        <v>77</v>
      </c>
      <c r="B396" s="2" t="s">
        <v>247</v>
      </c>
      <c r="C396" s="10">
        <v>1</v>
      </c>
    </row>
    <row r="397" spans="1:3" x14ac:dyDescent="0.3">
      <c r="A397" s="2" t="s">
        <v>77</v>
      </c>
      <c r="B397" s="2" t="s">
        <v>245</v>
      </c>
      <c r="C397" s="10">
        <v>5</v>
      </c>
    </row>
    <row r="398" spans="1:3" x14ac:dyDescent="0.3">
      <c r="A398" s="2" t="s">
        <v>77</v>
      </c>
      <c r="B398" s="2" t="s">
        <v>246</v>
      </c>
      <c r="C398" s="10">
        <v>2</v>
      </c>
    </row>
    <row r="399" spans="1:3" x14ac:dyDescent="0.3">
      <c r="A399" s="2" t="s">
        <v>77</v>
      </c>
      <c r="B399" s="2" t="s">
        <v>244</v>
      </c>
      <c r="C399" s="10">
        <v>1</v>
      </c>
    </row>
    <row r="400" spans="1:3" x14ac:dyDescent="0.3">
      <c r="A400" s="2" t="s">
        <v>77</v>
      </c>
      <c r="B400" s="2" t="s">
        <v>242</v>
      </c>
      <c r="C400" s="10">
        <v>1</v>
      </c>
    </row>
    <row r="401" spans="1:3" x14ac:dyDescent="0.3">
      <c r="A401" s="2" t="s">
        <v>78</v>
      </c>
      <c r="B401" s="2" t="s">
        <v>246</v>
      </c>
      <c r="C401" s="10">
        <v>2</v>
      </c>
    </row>
    <row r="402" spans="1:3" x14ac:dyDescent="0.3">
      <c r="A402" s="2" t="s">
        <v>78</v>
      </c>
      <c r="B402" s="2" t="s">
        <v>243</v>
      </c>
      <c r="C402" s="10">
        <v>4</v>
      </c>
    </row>
    <row r="403" spans="1:3" x14ac:dyDescent="0.3">
      <c r="A403" s="2" t="s">
        <v>78</v>
      </c>
      <c r="B403" s="2" t="s">
        <v>245</v>
      </c>
      <c r="C403" s="10">
        <v>3</v>
      </c>
    </row>
    <row r="404" spans="1:3" x14ac:dyDescent="0.3">
      <c r="A404" s="2" t="s">
        <v>78</v>
      </c>
      <c r="B404" s="2" t="s">
        <v>244</v>
      </c>
      <c r="C404" s="10">
        <v>4</v>
      </c>
    </row>
    <row r="405" spans="1:3" x14ac:dyDescent="0.3">
      <c r="A405" s="2" t="s">
        <v>78</v>
      </c>
      <c r="B405" s="2" t="s">
        <v>250</v>
      </c>
      <c r="C405" s="10">
        <v>1</v>
      </c>
    </row>
    <row r="406" spans="1:3" x14ac:dyDescent="0.3">
      <c r="A406" s="2" t="s">
        <v>78</v>
      </c>
      <c r="B406" s="2" t="s">
        <v>248</v>
      </c>
      <c r="C406" s="10">
        <v>1</v>
      </c>
    </row>
    <row r="407" spans="1:3" x14ac:dyDescent="0.3">
      <c r="A407" s="2" t="s">
        <v>78</v>
      </c>
      <c r="B407" s="2" t="s">
        <v>242</v>
      </c>
      <c r="C407" s="10">
        <v>1</v>
      </c>
    </row>
    <row r="408" spans="1:3" x14ac:dyDescent="0.3">
      <c r="A408" s="2" t="s">
        <v>79</v>
      </c>
      <c r="B408" s="2" t="s">
        <v>245</v>
      </c>
      <c r="C408" s="10">
        <v>21</v>
      </c>
    </row>
    <row r="409" spans="1:3" x14ac:dyDescent="0.3">
      <c r="A409" s="2" t="s">
        <v>79</v>
      </c>
      <c r="B409" s="2" t="s">
        <v>246</v>
      </c>
      <c r="C409" s="10">
        <v>3</v>
      </c>
    </row>
    <row r="410" spans="1:3" x14ac:dyDescent="0.3">
      <c r="A410" s="2" t="s">
        <v>79</v>
      </c>
      <c r="B410" s="2" t="s">
        <v>247</v>
      </c>
      <c r="C410" s="10">
        <v>7</v>
      </c>
    </row>
    <row r="411" spans="1:3" x14ac:dyDescent="0.3">
      <c r="A411" s="2" t="s">
        <v>79</v>
      </c>
      <c r="B411" s="2" t="s">
        <v>244</v>
      </c>
      <c r="C411" s="10">
        <v>5</v>
      </c>
    </row>
    <row r="412" spans="1:3" x14ac:dyDescent="0.3">
      <c r="A412" s="2" t="s">
        <v>79</v>
      </c>
      <c r="B412" s="2" t="s">
        <v>242</v>
      </c>
      <c r="C412" s="10">
        <v>1</v>
      </c>
    </row>
    <row r="413" spans="1:3" x14ac:dyDescent="0.3">
      <c r="A413" s="2" t="s">
        <v>80</v>
      </c>
      <c r="B413" s="2" t="s">
        <v>245</v>
      </c>
      <c r="C413" s="10">
        <v>20</v>
      </c>
    </row>
    <row r="414" spans="1:3" x14ac:dyDescent="0.3">
      <c r="A414" s="2" t="s">
        <v>80</v>
      </c>
      <c r="B414" s="2" t="s">
        <v>243</v>
      </c>
      <c r="C414" s="10">
        <v>2</v>
      </c>
    </row>
    <row r="415" spans="1:3" x14ac:dyDescent="0.3">
      <c r="A415" s="2" t="s">
        <v>80</v>
      </c>
      <c r="B415" s="2" t="s">
        <v>250</v>
      </c>
      <c r="C415" s="10">
        <v>12</v>
      </c>
    </row>
    <row r="416" spans="1:3" x14ac:dyDescent="0.3">
      <c r="A416" s="2" t="s">
        <v>80</v>
      </c>
      <c r="B416" s="2" t="s">
        <v>244</v>
      </c>
      <c r="C416" s="10">
        <v>14</v>
      </c>
    </row>
    <row r="417" spans="1:3" x14ac:dyDescent="0.3">
      <c r="A417" s="2" t="s">
        <v>80</v>
      </c>
      <c r="B417" s="2" t="s">
        <v>242</v>
      </c>
      <c r="C417" s="10">
        <v>1</v>
      </c>
    </row>
    <row r="418" spans="1:3" x14ac:dyDescent="0.3">
      <c r="A418" s="2" t="s">
        <v>80</v>
      </c>
      <c r="B418" s="2" t="s">
        <v>247</v>
      </c>
      <c r="C418" s="10">
        <v>4</v>
      </c>
    </row>
    <row r="419" spans="1:3" x14ac:dyDescent="0.3">
      <c r="A419" s="2" t="s">
        <v>80</v>
      </c>
      <c r="B419" s="2" t="s">
        <v>246</v>
      </c>
      <c r="C419" s="10">
        <v>1</v>
      </c>
    </row>
    <row r="420" spans="1:3" x14ac:dyDescent="0.3">
      <c r="A420" s="2" t="s">
        <v>80</v>
      </c>
      <c r="B420" s="2" t="s">
        <v>248</v>
      </c>
      <c r="C420" s="10">
        <v>1</v>
      </c>
    </row>
    <row r="421" spans="1:3" x14ac:dyDescent="0.3">
      <c r="A421" s="2" t="s">
        <v>81</v>
      </c>
      <c r="B421" s="2" t="s">
        <v>247</v>
      </c>
      <c r="C421" s="10">
        <v>2</v>
      </c>
    </row>
    <row r="422" spans="1:3" x14ac:dyDescent="0.3">
      <c r="A422" s="2" t="s">
        <v>81</v>
      </c>
      <c r="B422" s="2" t="s">
        <v>245</v>
      </c>
      <c r="C422" s="10">
        <v>3</v>
      </c>
    </row>
    <row r="423" spans="1:3" x14ac:dyDescent="0.3">
      <c r="A423" s="2" t="s">
        <v>81</v>
      </c>
      <c r="B423" s="2" t="s">
        <v>246</v>
      </c>
      <c r="C423" s="10">
        <v>3</v>
      </c>
    </row>
    <row r="424" spans="1:3" x14ac:dyDescent="0.3">
      <c r="A424" s="2" t="s">
        <v>81</v>
      </c>
      <c r="B424" s="2" t="s">
        <v>244</v>
      </c>
      <c r="C424" s="10">
        <v>3</v>
      </c>
    </row>
    <row r="425" spans="1:3" x14ac:dyDescent="0.3">
      <c r="A425" s="2" t="s">
        <v>82</v>
      </c>
      <c r="B425" s="2" t="s">
        <v>244</v>
      </c>
      <c r="C425" s="10">
        <v>1</v>
      </c>
    </row>
    <row r="426" spans="1:3" x14ac:dyDescent="0.3">
      <c r="A426" s="2" t="s">
        <v>82</v>
      </c>
      <c r="B426" s="2" t="s">
        <v>242</v>
      </c>
      <c r="C426" s="10">
        <v>1</v>
      </c>
    </row>
    <row r="427" spans="1:3" x14ac:dyDescent="0.3">
      <c r="A427" s="2" t="s">
        <v>82</v>
      </c>
      <c r="B427" s="2" t="s">
        <v>245</v>
      </c>
      <c r="C427" s="10">
        <v>6</v>
      </c>
    </row>
    <row r="428" spans="1:3" x14ac:dyDescent="0.3">
      <c r="A428" s="2" t="s">
        <v>82</v>
      </c>
      <c r="B428" s="2" t="s">
        <v>246</v>
      </c>
      <c r="C428" s="10">
        <v>2</v>
      </c>
    </row>
    <row r="429" spans="1:3" x14ac:dyDescent="0.3">
      <c r="A429" s="2" t="s">
        <v>82</v>
      </c>
      <c r="B429" s="2" t="s">
        <v>248</v>
      </c>
      <c r="C429" s="10">
        <v>1</v>
      </c>
    </row>
    <row r="430" spans="1:3" x14ac:dyDescent="0.3">
      <c r="A430" s="2" t="s">
        <v>82</v>
      </c>
      <c r="B430" s="2" t="s">
        <v>247</v>
      </c>
      <c r="C430" s="10">
        <v>1</v>
      </c>
    </row>
    <row r="431" spans="1:3" x14ac:dyDescent="0.3">
      <c r="A431" s="2" t="s">
        <v>82</v>
      </c>
      <c r="B431" s="2" t="s">
        <v>243</v>
      </c>
      <c r="C431" s="10">
        <v>2</v>
      </c>
    </row>
    <row r="432" spans="1:3" x14ac:dyDescent="0.3">
      <c r="A432" s="2" t="s">
        <v>83</v>
      </c>
      <c r="B432" s="2" t="s">
        <v>244</v>
      </c>
      <c r="C432" s="10">
        <v>2</v>
      </c>
    </row>
    <row r="433" spans="1:3" x14ac:dyDescent="0.3">
      <c r="A433" s="2" t="s">
        <v>83</v>
      </c>
      <c r="B433" s="2" t="s">
        <v>245</v>
      </c>
      <c r="C433" s="10">
        <v>1</v>
      </c>
    </row>
    <row r="434" spans="1:3" x14ac:dyDescent="0.3">
      <c r="A434" s="2" t="s">
        <v>83</v>
      </c>
      <c r="B434" s="2" t="s">
        <v>242</v>
      </c>
      <c r="C434" s="10">
        <v>1</v>
      </c>
    </row>
    <row r="435" spans="1:3" x14ac:dyDescent="0.3">
      <c r="A435" s="2" t="s">
        <v>83</v>
      </c>
      <c r="B435" s="2" t="s">
        <v>247</v>
      </c>
      <c r="C435" s="10">
        <v>1</v>
      </c>
    </row>
    <row r="436" spans="1:3" x14ac:dyDescent="0.3">
      <c r="A436" s="2" t="s">
        <v>84</v>
      </c>
      <c r="B436" s="2" t="s">
        <v>245</v>
      </c>
      <c r="C436" s="10">
        <v>4</v>
      </c>
    </row>
    <row r="437" spans="1:3" x14ac:dyDescent="0.3">
      <c r="A437" s="2" t="s">
        <v>84</v>
      </c>
      <c r="B437" s="2" t="s">
        <v>242</v>
      </c>
      <c r="C437" s="10">
        <v>3</v>
      </c>
    </row>
    <row r="438" spans="1:3" x14ac:dyDescent="0.3">
      <c r="A438" s="2" t="s">
        <v>84</v>
      </c>
      <c r="B438" s="2" t="s">
        <v>246</v>
      </c>
      <c r="C438" s="10">
        <v>4</v>
      </c>
    </row>
    <row r="439" spans="1:3" x14ac:dyDescent="0.3">
      <c r="A439" s="2" t="s">
        <v>85</v>
      </c>
      <c r="B439" s="2" t="s">
        <v>246</v>
      </c>
      <c r="C439" s="10">
        <v>6</v>
      </c>
    </row>
    <row r="440" spans="1:3" x14ac:dyDescent="0.3">
      <c r="A440" s="2" t="s">
        <v>85</v>
      </c>
      <c r="B440" s="2" t="s">
        <v>247</v>
      </c>
      <c r="C440" s="10">
        <v>4</v>
      </c>
    </row>
    <row r="441" spans="1:3" x14ac:dyDescent="0.3">
      <c r="A441" s="2" t="s">
        <v>85</v>
      </c>
      <c r="B441" s="2" t="s">
        <v>245</v>
      </c>
      <c r="C441" s="10">
        <v>7</v>
      </c>
    </row>
    <row r="442" spans="1:3" x14ac:dyDescent="0.3">
      <c r="A442" s="2" t="s">
        <v>85</v>
      </c>
      <c r="B442" s="2" t="s">
        <v>254</v>
      </c>
      <c r="C442" s="10">
        <v>12</v>
      </c>
    </row>
    <row r="443" spans="1:3" x14ac:dyDescent="0.3">
      <c r="A443" s="2" t="s">
        <v>85</v>
      </c>
      <c r="B443" s="2" t="s">
        <v>248</v>
      </c>
      <c r="C443" s="10">
        <v>1</v>
      </c>
    </row>
    <row r="444" spans="1:3" x14ac:dyDescent="0.3">
      <c r="A444" s="2" t="s">
        <v>85</v>
      </c>
      <c r="B444" s="2" t="s">
        <v>244</v>
      </c>
      <c r="C444" s="10">
        <v>2</v>
      </c>
    </row>
    <row r="445" spans="1:3" x14ac:dyDescent="0.3">
      <c r="A445" s="2" t="s">
        <v>85</v>
      </c>
      <c r="B445" s="2" t="s">
        <v>250</v>
      </c>
      <c r="C445" s="10">
        <v>1</v>
      </c>
    </row>
    <row r="446" spans="1:3" x14ac:dyDescent="0.3">
      <c r="A446" s="2" t="s">
        <v>85</v>
      </c>
      <c r="B446" s="2" t="s">
        <v>243</v>
      </c>
      <c r="C446" s="10">
        <v>1</v>
      </c>
    </row>
    <row r="447" spans="1:3" x14ac:dyDescent="0.3">
      <c r="A447" s="2" t="s">
        <v>86</v>
      </c>
      <c r="B447" s="2" t="s">
        <v>245</v>
      </c>
      <c r="C447" s="10">
        <v>1</v>
      </c>
    </row>
    <row r="448" spans="1:3" x14ac:dyDescent="0.3">
      <c r="A448" s="2" t="s">
        <v>86</v>
      </c>
      <c r="B448" s="2" t="s">
        <v>246</v>
      </c>
      <c r="C448" s="10">
        <v>2</v>
      </c>
    </row>
    <row r="449" spans="1:3" x14ac:dyDescent="0.3">
      <c r="A449" s="2" t="s">
        <v>87</v>
      </c>
      <c r="B449" s="2" t="s">
        <v>246</v>
      </c>
      <c r="C449" s="10">
        <v>2</v>
      </c>
    </row>
    <row r="450" spans="1:3" x14ac:dyDescent="0.3">
      <c r="A450" s="2" t="s">
        <v>87</v>
      </c>
      <c r="B450" s="2" t="s">
        <v>242</v>
      </c>
      <c r="C450" s="10">
        <v>3</v>
      </c>
    </row>
    <row r="451" spans="1:3" x14ac:dyDescent="0.3">
      <c r="A451" s="2" t="s">
        <v>87</v>
      </c>
      <c r="B451" s="2" t="s">
        <v>245</v>
      </c>
      <c r="C451" s="10">
        <v>2</v>
      </c>
    </row>
    <row r="452" spans="1:3" x14ac:dyDescent="0.3">
      <c r="A452" s="2" t="s">
        <v>88</v>
      </c>
      <c r="B452" s="2" t="s">
        <v>245</v>
      </c>
      <c r="C452" s="10">
        <v>3</v>
      </c>
    </row>
    <row r="453" spans="1:3" x14ac:dyDescent="0.3">
      <c r="A453" s="2" t="s">
        <v>88</v>
      </c>
      <c r="B453" s="2" t="s">
        <v>243</v>
      </c>
      <c r="C453" s="10">
        <v>1</v>
      </c>
    </row>
    <row r="454" spans="1:3" x14ac:dyDescent="0.3">
      <c r="A454" s="2" t="s">
        <v>88</v>
      </c>
      <c r="B454" s="2" t="s">
        <v>244</v>
      </c>
      <c r="C454" s="10">
        <v>1</v>
      </c>
    </row>
    <row r="455" spans="1:3" x14ac:dyDescent="0.3">
      <c r="A455" s="2" t="s">
        <v>88</v>
      </c>
      <c r="B455" s="2" t="s">
        <v>247</v>
      </c>
      <c r="C455" s="10">
        <v>2</v>
      </c>
    </row>
    <row r="456" spans="1:3" x14ac:dyDescent="0.3">
      <c r="A456" s="2" t="s">
        <v>88</v>
      </c>
      <c r="B456" s="2" t="s">
        <v>242</v>
      </c>
      <c r="C456" s="10">
        <v>4</v>
      </c>
    </row>
    <row r="457" spans="1:3" x14ac:dyDescent="0.3">
      <c r="A457" s="2" t="s">
        <v>89</v>
      </c>
      <c r="B457" s="2" t="s">
        <v>245</v>
      </c>
      <c r="C457" s="10">
        <v>24</v>
      </c>
    </row>
    <row r="458" spans="1:3" x14ac:dyDescent="0.3">
      <c r="A458" s="2" t="s">
        <v>89</v>
      </c>
      <c r="B458" s="2" t="s">
        <v>246</v>
      </c>
      <c r="C458" s="10">
        <v>3</v>
      </c>
    </row>
    <row r="459" spans="1:3" x14ac:dyDescent="0.3">
      <c r="A459" s="2" t="s">
        <v>89</v>
      </c>
      <c r="B459" s="2" t="s">
        <v>247</v>
      </c>
      <c r="C459" s="10">
        <v>58</v>
      </c>
    </row>
    <row r="460" spans="1:3" x14ac:dyDescent="0.3">
      <c r="A460" s="2" t="s">
        <v>89</v>
      </c>
      <c r="B460" s="2" t="s">
        <v>244</v>
      </c>
      <c r="C460" s="10">
        <v>21</v>
      </c>
    </row>
    <row r="461" spans="1:3" x14ac:dyDescent="0.3">
      <c r="A461" s="2" t="s">
        <v>89</v>
      </c>
      <c r="B461" s="2" t="s">
        <v>254</v>
      </c>
      <c r="C461" s="10">
        <v>49</v>
      </c>
    </row>
    <row r="462" spans="1:3" x14ac:dyDescent="0.3">
      <c r="A462" s="2" t="s">
        <v>89</v>
      </c>
      <c r="B462" s="2" t="s">
        <v>242</v>
      </c>
      <c r="C462" s="10">
        <v>2</v>
      </c>
    </row>
    <row r="463" spans="1:3" x14ac:dyDescent="0.3">
      <c r="A463" s="2" t="s">
        <v>89</v>
      </c>
      <c r="B463" s="2" t="s">
        <v>243</v>
      </c>
      <c r="C463" s="10">
        <v>10</v>
      </c>
    </row>
    <row r="464" spans="1:3" x14ac:dyDescent="0.3">
      <c r="A464" s="2" t="s">
        <v>89</v>
      </c>
      <c r="B464" s="2" t="s">
        <v>252</v>
      </c>
      <c r="C464" s="10">
        <v>2</v>
      </c>
    </row>
    <row r="465" spans="1:3" x14ac:dyDescent="0.3">
      <c r="A465" s="2" t="s">
        <v>89</v>
      </c>
      <c r="B465" s="2" t="s">
        <v>256</v>
      </c>
      <c r="C465" s="10">
        <v>3</v>
      </c>
    </row>
    <row r="466" spans="1:3" x14ac:dyDescent="0.3">
      <c r="A466" s="2" t="s">
        <v>89</v>
      </c>
      <c r="B466" s="2" t="s">
        <v>253</v>
      </c>
      <c r="C466" s="10">
        <v>1</v>
      </c>
    </row>
    <row r="467" spans="1:3" x14ac:dyDescent="0.3">
      <c r="A467" s="2" t="s">
        <v>90</v>
      </c>
      <c r="B467" s="2" t="s">
        <v>245</v>
      </c>
      <c r="C467" s="10">
        <v>7</v>
      </c>
    </row>
    <row r="468" spans="1:3" x14ac:dyDescent="0.3">
      <c r="A468" s="2" t="s">
        <v>90</v>
      </c>
      <c r="B468" s="2" t="s">
        <v>246</v>
      </c>
      <c r="C468" s="10">
        <v>4</v>
      </c>
    </row>
    <row r="469" spans="1:3" x14ac:dyDescent="0.3">
      <c r="A469" s="2" t="s">
        <v>90</v>
      </c>
      <c r="B469" s="2" t="s">
        <v>244</v>
      </c>
      <c r="C469" s="10">
        <v>1</v>
      </c>
    </row>
    <row r="470" spans="1:3" x14ac:dyDescent="0.3">
      <c r="A470" s="2" t="s">
        <v>91</v>
      </c>
      <c r="B470" s="2" t="s">
        <v>245</v>
      </c>
      <c r="C470" s="10">
        <v>26</v>
      </c>
    </row>
    <row r="471" spans="1:3" x14ac:dyDescent="0.3">
      <c r="A471" s="2" t="s">
        <v>91</v>
      </c>
      <c r="B471" s="2" t="s">
        <v>248</v>
      </c>
      <c r="C471" s="10">
        <v>1</v>
      </c>
    </row>
    <row r="472" spans="1:3" x14ac:dyDescent="0.3">
      <c r="A472" s="2" t="s">
        <v>91</v>
      </c>
      <c r="B472" s="2" t="s">
        <v>242</v>
      </c>
      <c r="C472" s="10">
        <v>3</v>
      </c>
    </row>
    <row r="473" spans="1:3" x14ac:dyDescent="0.3">
      <c r="A473" s="2" t="s">
        <v>91</v>
      </c>
      <c r="B473" s="2" t="s">
        <v>244</v>
      </c>
      <c r="C473" s="10">
        <v>4</v>
      </c>
    </row>
    <row r="474" spans="1:3" x14ac:dyDescent="0.3">
      <c r="A474" s="2" t="s">
        <v>91</v>
      </c>
      <c r="B474" s="2" t="s">
        <v>247</v>
      </c>
      <c r="C474" s="10">
        <v>3</v>
      </c>
    </row>
    <row r="475" spans="1:3" x14ac:dyDescent="0.3">
      <c r="A475" s="2" t="s">
        <v>91</v>
      </c>
      <c r="B475" s="2" t="s">
        <v>246</v>
      </c>
      <c r="C475" s="10">
        <v>4</v>
      </c>
    </row>
    <row r="476" spans="1:3" x14ac:dyDescent="0.3">
      <c r="A476" s="2" t="s">
        <v>91</v>
      </c>
      <c r="B476" s="2" t="s">
        <v>250</v>
      </c>
      <c r="C476" s="10">
        <v>1</v>
      </c>
    </row>
    <row r="477" spans="1:3" x14ac:dyDescent="0.3">
      <c r="A477" s="2" t="s">
        <v>92</v>
      </c>
      <c r="B477" s="2" t="s">
        <v>244</v>
      </c>
      <c r="C477" s="10">
        <v>1</v>
      </c>
    </row>
    <row r="478" spans="1:3" x14ac:dyDescent="0.3">
      <c r="A478" s="2" t="s">
        <v>92</v>
      </c>
      <c r="B478" s="2" t="s">
        <v>243</v>
      </c>
      <c r="C478" s="10">
        <v>3</v>
      </c>
    </row>
    <row r="479" spans="1:3" x14ac:dyDescent="0.3">
      <c r="A479" s="2" t="s">
        <v>92</v>
      </c>
      <c r="B479" s="2" t="s">
        <v>245</v>
      </c>
      <c r="C479" s="10">
        <v>10</v>
      </c>
    </row>
    <row r="480" spans="1:3" x14ac:dyDescent="0.3">
      <c r="A480" s="2" t="s">
        <v>92</v>
      </c>
      <c r="B480" s="2" t="s">
        <v>242</v>
      </c>
      <c r="C480" s="10">
        <v>2</v>
      </c>
    </row>
    <row r="481" spans="1:3" x14ac:dyDescent="0.3">
      <c r="A481" s="2" t="s">
        <v>92</v>
      </c>
      <c r="B481" s="2" t="s">
        <v>247</v>
      </c>
      <c r="C481" s="10">
        <v>2</v>
      </c>
    </row>
    <row r="482" spans="1:3" x14ac:dyDescent="0.3">
      <c r="A482" s="2" t="s">
        <v>92</v>
      </c>
      <c r="B482" s="2" t="s">
        <v>253</v>
      </c>
      <c r="C482" s="10">
        <v>1</v>
      </c>
    </row>
    <row r="483" spans="1:3" x14ac:dyDescent="0.3">
      <c r="A483" s="2" t="s">
        <v>92</v>
      </c>
      <c r="B483" s="2" t="s">
        <v>246</v>
      </c>
      <c r="C483" s="10">
        <v>2</v>
      </c>
    </row>
    <row r="484" spans="1:3" x14ac:dyDescent="0.3">
      <c r="A484" s="2" t="s">
        <v>93</v>
      </c>
      <c r="B484" s="2" t="s">
        <v>245</v>
      </c>
      <c r="C484" s="10">
        <v>4</v>
      </c>
    </row>
    <row r="485" spans="1:3" x14ac:dyDescent="0.3">
      <c r="A485" s="2" t="s">
        <v>93</v>
      </c>
      <c r="B485" s="2" t="s">
        <v>243</v>
      </c>
      <c r="C485" s="10">
        <v>1</v>
      </c>
    </row>
    <row r="486" spans="1:3" x14ac:dyDescent="0.3">
      <c r="A486" s="2" t="s">
        <v>93</v>
      </c>
      <c r="B486" s="2" t="s">
        <v>242</v>
      </c>
      <c r="C486" s="10">
        <v>2</v>
      </c>
    </row>
    <row r="487" spans="1:3" x14ac:dyDescent="0.3">
      <c r="A487" s="2" t="s">
        <v>93</v>
      </c>
      <c r="B487" s="2" t="s">
        <v>246</v>
      </c>
      <c r="C487" s="10">
        <v>2</v>
      </c>
    </row>
    <row r="488" spans="1:3" x14ac:dyDescent="0.3">
      <c r="A488" s="2" t="s">
        <v>93</v>
      </c>
      <c r="B488" s="2" t="s">
        <v>247</v>
      </c>
      <c r="C488" s="10">
        <v>1</v>
      </c>
    </row>
    <row r="489" spans="1:3" x14ac:dyDescent="0.3">
      <c r="A489" s="2" t="s">
        <v>94</v>
      </c>
      <c r="B489" s="2" t="s">
        <v>242</v>
      </c>
      <c r="C489" s="10">
        <v>1</v>
      </c>
    </row>
    <row r="490" spans="1:3" x14ac:dyDescent="0.3">
      <c r="A490" s="2" t="s">
        <v>94</v>
      </c>
      <c r="B490" s="2" t="s">
        <v>245</v>
      </c>
      <c r="C490" s="10">
        <v>2</v>
      </c>
    </row>
    <row r="491" spans="1:3" x14ac:dyDescent="0.3">
      <c r="A491" s="2" t="s">
        <v>95</v>
      </c>
      <c r="B491" s="2" t="s">
        <v>245</v>
      </c>
      <c r="C491" s="10">
        <v>5</v>
      </c>
    </row>
    <row r="492" spans="1:3" x14ac:dyDescent="0.3">
      <c r="A492" s="2" t="s">
        <v>95</v>
      </c>
      <c r="B492" s="2" t="s">
        <v>246</v>
      </c>
      <c r="C492" s="10">
        <v>2</v>
      </c>
    </row>
    <row r="493" spans="1:3" x14ac:dyDescent="0.3">
      <c r="A493" s="2" t="s">
        <v>95</v>
      </c>
      <c r="B493" s="2" t="s">
        <v>244</v>
      </c>
      <c r="C493" s="10">
        <v>1</v>
      </c>
    </row>
    <row r="494" spans="1:3" x14ac:dyDescent="0.3">
      <c r="A494" s="2" t="s">
        <v>96</v>
      </c>
      <c r="B494" s="2" t="s">
        <v>242</v>
      </c>
      <c r="C494" s="10">
        <v>3</v>
      </c>
    </row>
    <row r="495" spans="1:3" x14ac:dyDescent="0.3">
      <c r="A495" s="2" t="s">
        <v>96</v>
      </c>
      <c r="B495" s="2" t="s">
        <v>246</v>
      </c>
      <c r="C495" s="10">
        <v>4</v>
      </c>
    </row>
    <row r="496" spans="1:3" x14ac:dyDescent="0.3">
      <c r="A496" s="2" t="s">
        <v>96</v>
      </c>
      <c r="B496" s="2" t="s">
        <v>245</v>
      </c>
      <c r="C496" s="10">
        <v>3</v>
      </c>
    </row>
    <row r="497" spans="1:3" x14ac:dyDescent="0.3">
      <c r="A497" s="2" t="s">
        <v>96</v>
      </c>
      <c r="B497" s="2" t="s">
        <v>248</v>
      </c>
      <c r="C497" s="10">
        <v>1</v>
      </c>
    </row>
    <row r="498" spans="1:3" x14ac:dyDescent="0.3">
      <c r="A498" s="2" t="s">
        <v>97</v>
      </c>
      <c r="B498" s="2" t="s">
        <v>245</v>
      </c>
      <c r="C498" s="10">
        <v>3</v>
      </c>
    </row>
    <row r="499" spans="1:3" x14ac:dyDescent="0.3">
      <c r="A499" s="2" t="s">
        <v>97</v>
      </c>
      <c r="B499" s="2" t="s">
        <v>246</v>
      </c>
      <c r="C499" s="10">
        <v>3</v>
      </c>
    </row>
    <row r="500" spans="1:3" x14ac:dyDescent="0.3">
      <c r="A500" s="2" t="s">
        <v>97</v>
      </c>
      <c r="B500" s="2" t="s">
        <v>244</v>
      </c>
      <c r="C500" s="10">
        <v>1</v>
      </c>
    </row>
    <row r="501" spans="1:3" x14ac:dyDescent="0.3">
      <c r="A501" s="2" t="s">
        <v>97</v>
      </c>
      <c r="B501" s="2" t="s">
        <v>243</v>
      </c>
      <c r="C501" s="10">
        <v>1</v>
      </c>
    </row>
    <row r="502" spans="1:3" x14ac:dyDescent="0.3">
      <c r="A502" s="2" t="s">
        <v>98</v>
      </c>
      <c r="B502" s="2" t="s">
        <v>247</v>
      </c>
      <c r="C502" s="10">
        <v>1</v>
      </c>
    </row>
    <row r="503" spans="1:3" x14ac:dyDescent="0.3">
      <c r="A503" s="2" t="s">
        <v>99</v>
      </c>
      <c r="B503" s="2" t="s">
        <v>247</v>
      </c>
      <c r="C503" s="10">
        <v>1</v>
      </c>
    </row>
    <row r="504" spans="1:3" x14ac:dyDescent="0.3">
      <c r="A504" s="2" t="s">
        <v>99</v>
      </c>
      <c r="B504" s="2" t="s">
        <v>245</v>
      </c>
      <c r="C504" s="10">
        <v>3</v>
      </c>
    </row>
    <row r="505" spans="1:3" x14ac:dyDescent="0.3">
      <c r="A505" s="2" t="s">
        <v>99</v>
      </c>
      <c r="B505" s="2" t="s">
        <v>246</v>
      </c>
      <c r="C505" s="10">
        <v>1</v>
      </c>
    </row>
    <row r="506" spans="1:3" x14ac:dyDescent="0.3">
      <c r="A506" s="2" t="s">
        <v>100</v>
      </c>
      <c r="B506" s="2" t="s">
        <v>244</v>
      </c>
      <c r="C506" s="10">
        <v>3</v>
      </c>
    </row>
    <row r="507" spans="1:3" x14ac:dyDescent="0.3">
      <c r="A507" s="2" t="s">
        <v>100</v>
      </c>
      <c r="B507" s="2" t="s">
        <v>246</v>
      </c>
      <c r="C507" s="10">
        <v>8</v>
      </c>
    </row>
    <row r="508" spans="1:3" x14ac:dyDescent="0.3">
      <c r="A508" s="2" t="s">
        <v>100</v>
      </c>
      <c r="B508" s="2" t="s">
        <v>245</v>
      </c>
      <c r="C508" s="10">
        <v>3</v>
      </c>
    </row>
    <row r="509" spans="1:3" x14ac:dyDescent="0.3">
      <c r="A509" s="2" t="s">
        <v>100</v>
      </c>
      <c r="B509" s="2" t="s">
        <v>249</v>
      </c>
      <c r="C509" s="10">
        <v>1</v>
      </c>
    </row>
    <row r="510" spans="1:3" x14ac:dyDescent="0.3">
      <c r="A510" s="2" t="s">
        <v>100</v>
      </c>
      <c r="B510" s="2" t="s">
        <v>242</v>
      </c>
      <c r="C510" s="10">
        <v>3</v>
      </c>
    </row>
    <row r="511" spans="1:3" x14ac:dyDescent="0.3">
      <c r="A511" s="2" t="s">
        <v>100</v>
      </c>
      <c r="B511" s="2" t="s">
        <v>247</v>
      </c>
      <c r="C511" s="10">
        <v>7</v>
      </c>
    </row>
    <row r="512" spans="1:3" x14ac:dyDescent="0.3">
      <c r="A512" s="2" t="s">
        <v>100</v>
      </c>
      <c r="B512" s="2" t="s">
        <v>243</v>
      </c>
      <c r="C512" s="10">
        <v>2</v>
      </c>
    </row>
    <row r="513" spans="1:3" x14ac:dyDescent="0.3">
      <c r="A513" s="2" t="s">
        <v>100</v>
      </c>
      <c r="B513" s="2" t="s">
        <v>253</v>
      </c>
      <c r="C513" s="10">
        <v>1</v>
      </c>
    </row>
    <row r="514" spans="1:3" x14ac:dyDescent="0.3">
      <c r="A514" s="2" t="s">
        <v>101</v>
      </c>
      <c r="B514" s="2" t="s">
        <v>244</v>
      </c>
      <c r="C514" s="10">
        <v>81</v>
      </c>
    </row>
    <row r="515" spans="1:3" x14ac:dyDescent="0.3">
      <c r="A515" s="2" t="s">
        <v>101</v>
      </c>
      <c r="B515" s="2" t="s">
        <v>246</v>
      </c>
      <c r="C515" s="10">
        <v>10</v>
      </c>
    </row>
    <row r="516" spans="1:3" x14ac:dyDescent="0.3">
      <c r="A516" s="2" t="s">
        <v>101</v>
      </c>
      <c r="B516" s="2" t="s">
        <v>242</v>
      </c>
      <c r="C516" s="10">
        <v>12</v>
      </c>
    </row>
    <row r="517" spans="1:3" x14ac:dyDescent="0.3">
      <c r="A517" s="2" t="s">
        <v>101</v>
      </c>
      <c r="B517" s="2" t="s">
        <v>245</v>
      </c>
      <c r="C517" s="10">
        <v>43</v>
      </c>
    </row>
    <row r="518" spans="1:3" x14ac:dyDescent="0.3">
      <c r="A518" s="2" t="s">
        <v>101</v>
      </c>
      <c r="B518" s="2" t="s">
        <v>247</v>
      </c>
      <c r="C518" s="10">
        <v>10</v>
      </c>
    </row>
    <row r="519" spans="1:3" x14ac:dyDescent="0.3">
      <c r="A519" s="2" t="s">
        <v>101</v>
      </c>
      <c r="B519" s="2" t="s">
        <v>252</v>
      </c>
      <c r="C519" s="10">
        <v>5</v>
      </c>
    </row>
    <row r="520" spans="1:3" x14ac:dyDescent="0.3">
      <c r="A520" s="2" t="s">
        <v>101</v>
      </c>
      <c r="B520" s="2" t="s">
        <v>243</v>
      </c>
      <c r="C520" s="10">
        <v>111</v>
      </c>
    </row>
    <row r="521" spans="1:3" x14ac:dyDescent="0.3">
      <c r="A521" s="2" t="s">
        <v>101</v>
      </c>
      <c r="B521" s="2" t="s">
        <v>249</v>
      </c>
      <c r="C521" s="10">
        <v>1</v>
      </c>
    </row>
    <row r="522" spans="1:3" x14ac:dyDescent="0.3">
      <c r="A522" s="2" t="s">
        <v>101</v>
      </c>
      <c r="B522" s="2" t="s">
        <v>253</v>
      </c>
      <c r="C522" s="10">
        <v>14</v>
      </c>
    </row>
    <row r="523" spans="1:3" x14ac:dyDescent="0.3">
      <c r="A523" s="2" t="s">
        <v>101</v>
      </c>
      <c r="B523" s="2" t="s">
        <v>248</v>
      </c>
      <c r="C523" s="10">
        <v>1</v>
      </c>
    </row>
    <row r="524" spans="1:3" x14ac:dyDescent="0.3">
      <c r="A524" s="2" t="s">
        <v>101</v>
      </c>
      <c r="B524" s="2" t="s">
        <v>250</v>
      </c>
      <c r="C524" s="10">
        <v>1</v>
      </c>
    </row>
    <row r="525" spans="1:3" x14ac:dyDescent="0.3">
      <c r="A525" s="2" t="s">
        <v>101</v>
      </c>
      <c r="B525" s="2" t="s">
        <v>256</v>
      </c>
      <c r="C525" s="10">
        <v>1</v>
      </c>
    </row>
    <row r="526" spans="1:3" x14ac:dyDescent="0.3">
      <c r="A526" s="2" t="s">
        <v>101</v>
      </c>
      <c r="B526" s="2" t="s">
        <v>254</v>
      </c>
      <c r="C526" s="10">
        <v>130</v>
      </c>
    </row>
    <row r="527" spans="1:3" x14ac:dyDescent="0.3">
      <c r="A527" s="2" t="s">
        <v>102</v>
      </c>
      <c r="B527" s="2" t="s">
        <v>247</v>
      </c>
      <c r="C527" s="10">
        <v>2</v>
      </c>
    </row>
    <row r="528" spans="1:3" x14ac:dyDescent="0.3">
      <c r="A528" s="2" t="s">
        <v>102</v>
      </c>
      <c r="B528" s="2" t="s">
        <v>242</v>
      </c>
      <c r="C528" s="10">
        <v>2</v>
      </c>
    </row>
    <row r="529" spans="1:3" x14ac:dyDescent="0.3">
      <c r="A529" s="2" t="s">
        <v>102</v>
      </c>
      <c r="B529" s="2" t="s">
        <v>246</v>
      </c>
      <c r="C529" s="10">
        <v>3</v>
      </c>
    </row>
    <row r="530" spans="1:3" x14ac:dyDescent="0.3">
      <c r="A530" s="2" t="s">
        <v>102</v>
      </c>
      <c r="B530" s="2" t="s">
        <v>248</v>
      </c>
      <c r="C530" s="10">
        <v>1</v>
      </c>
    </row>
    <row r="531" spans="1:3" x14ac:dyDescent="0.3">
      <c r="A531" s="2" t="s">
        <v>102</v>
      </c>
      <c r="B531" s="2" t="s">
        <v>245</v>
      </c>
      <c r="C531" s="10">
        <v>3</v>
      </c>
    </row>
    <row r="532" spans="1:3" x14ac:dyDescent="0.3">
      <c r="A532" s="2" t="s">
        <v>102</v>
      </c>
      <c r="B532" s="2" t="s">
        <v>243</v>
      </c>
      <c r="C532" s="10">
        <v>2</v>
      </c>
    </row>
    <row r="533" spans="1:3" x14ac:dyDescent="0.3">
      <c r="A533" s="2" t="s">
        <v>103</v>
      </c>
      <c r="B533" s="2" t="s">
        <v>245</v>
      </c>
      <c r="C533" s="10">
        <v>10</v>
      </c>
    </row>
    <row r="534" spans="1:3" x14ac:dyDescent="0.3">
      <c r="A534" s="2" t="s">
        <v>103</v>
      </c>
      <c r="B534" s="2" t="s">
        <v>242</v>
      </c>
      <c r="C534" s="10">
        <v>1</v>
      </c>
    </row>
    <row r="535" spans="1:3" x14ac:dyDescent="0.3">
      <c r="A535" s="2" t="s">
        <v>103</v>
      </c>
      <c r="B535" s="2" t="s">
        <v>243</v>
      </c>
      <c r="C535" s="10">
        <v>1</v>
      </c>
    </row>
    <row r="536" spans="1:3" x14ac:dyDescent="0.3">
      <c r="A536" s="2" t="s">
        <v>103</v>
      </c>
      <c r="B536" s="2" t="s">
        <v>246</v>
      </c>
      <c r="C536" s="10">
        <v>9</v>
      </c>
    </row>
    <row r="537" spans="1:3" x14ac:dyDescent="0.3">
      <c r="A537" s="2" t="s">
        <v>103</v>
      </c>
      <c r="B537" s="2" t="s">
        <v>248</v>
      </c>
      <c r="C537" s="10">
        <v>1</v>
      </c>
    </row>
    <row r="538" spans="1:3" x14ac:dyDescent="0.3">
      <c r="A538" s="2" t="s">
        <v>103</v>
      </c>
      <c r="B538" s="2" t="s">
        <v>250</v>
      </c>
      <c r="C538" s="10">
        <v>1</v>
      </c>
    </row>
    <row r="539" spans="1:3" x14ac:dyDescent="0.3">
      <c r="A539" s="2" t="s">
        <v>103</v>
      </c>
      <c r="B539" s="2" t="s">
        <v>247</v>
      </c>
      <c r="C539" s="10">
        <v>1</v>
      </c>
    </row>
    <row r="540" spans="1:3" x14ac:dyDescent="0.3">
      <c r="A540" s="2" t="s">
        <v>103</v>
      </c>
      <c r="B540" s="2" t="s">
        <v>249</v>
      </c>
      <c r="C540" s="10">
        <v>1</v>
      </c>
    </row>
    <row r="541" spans="1:3" x14ac:dyDescent="0.3">
      <c r="A541" s="2" t="s">
        <v>104</v>
      </c>
      <c r="B541" s="2" t="s">
        <v>254</v>
      </c>
      <c r="C541" s="10">
        <v>6</v>
      </c>
    </row>
    <row r="542" spans="1:3" x14ac:dyDescent="0.3">
      <c r="A542" s="2" t="s">
        <v>104</v>
      </c>
      <c r="B542" s="2" t="s">
        <v>247</v>
      </c>
      <c r="C542" s="10">
        <v>23</v>
      </c>
    </row>
    <row r="543" spans="1:3" x14ac:dyDescent="0.3">
      <c r="A543" s="2" t="s">
        <v>104</v>
      </c>
      <c r="B543" s="2" t="s">
        <v>245</v>
      </c>
      <c r="C543" s="10">
        <v>28</v>
      </c>
    </row>
    <row r="544" spans="1:3" x14ac:dyDescent="0.3">
      <c r="A544" s="2" t="s">
        <v>104</v>
      </c>
      <c r="B544" s="2" t="s">
        <v>242</v>
      </c>
      <c r="C544" s="10">
        <v>5</v>
      </c>
    </row>
    <row r="545" spans="1:3" x14ac:dyDescent="0.3">
      <c r="A545" s="2" t="s">
        <v>104</v>
      </c>
      <c r="B545" s="2" t="s">
        <v>244</v>
      </c>
      <c r="C545" s="10">
        <v>13</v>
      </c>
    </row>
    <row r="546" spans="1:3" x14ac:dyDescent="0.3">
      <c r="A546" s="2" t="s">
        <v>104</v>
      </c>
      <c r="B546" s="2" t="s">
        <v>246</v>
      </c>
      <c r="C546" s="10">
        <v>5</v>
      </c>
    </row>
    <row r="547" spans="1:3" x14ac:dyDescent="0.3">
      <c r="A547" s="2" t="s">
        <v>104</v>
      </c>
      <c r="B547" s="2" t="s">
        <v>253</v>
      </c>
      <c r="C547" s="10">
        <v>3</v>
      </c>
    </row>
    <row r="548" spans="1:3" x14ac:dyDescent="0.3">
      <c r="A548" s="2" t="s">
        <v>104</v>
      </c>
      <c r="B548" s="2" t="s">
        <v>256</v>
      </c>
      <c r="C548" s="10">
        <v>1</v>
      </c>
    </row>
    <row r="549" spans="1:3" x14ac:dyDescent="0.3">
      <c r="A549" s="2" t="s">
        <v>104</v>
      </c>
      <c r="B549" s="2" t="s">
        <v>243</v>
      </c>
      <c r="C549" s="10">
        <v>1</v>
      </c>
    </row>
    <row r="550" spans="1:3" x14ac:dyDescent="0.3">
      <c r="A550" s="2" t="s">
        <v>105</v>
      </c>
      <c r="B550" s="2" t="s">
        <v>244</v>
      </c>
      <c r="C550" s="10">
        <v>2</v>
      </c>
    </row>
    <row r="551" spans="1:3" x14ac:dyDescent="0.3">
      <c r="A551" s="2" t="s">
        <v>105</v>
      </c>
      <c r="B551" s="2" t="s">
        <v>248</v>
      </c>
      <c r="C551" s="10">
        <v>1</v>
      </c>
    </row>
    <row r="552" spans="1:3" x14ac:dyDescent="0.3">
      <c r="A552" s="2" t="s">
        <v>105</v>
      </c>
      <c r="B552" s="2" t="s">
        <v>245</v>
      </c>
      <c r="C552" s="10">
        <v>2</v>
      </c>
    </row>
    <row r="553" spans="1:3" x14ac:dyDescent="0.3">
      <c r="A553" s="2" t="s">
        <v>105</v>
      </c>
      <c r="B553" s="2" t="s">
        <v>246</v>
      </c>
      <c r="C553" s="10">
        <v>2</v>
      </c>
    </row>
    <row r="554" spans="1:3" x14ac:dyDescent="0.3">
      <c r="A554" s="2" t="s">
        <v>105</v>
      </c>
      <c r="B554" s="2" t="s">
        <v>242</v>
      </c>
      <c r="C554" s="10">
        <v>1</v>
      </c>
    </row>
    <row r="555" spans="1:3" x14ac:dyDescent="0.3">
      <c r="A555" s="2" t="s">
        <v>105</v>
      </c>
      <c r="B555" s="2" t="s">
        <v>252</v>
      </c>
      <c r="C555" s="10">
        <v>1</v>
      </c>
    </row>
    <row r="556" spans="1:3" x14ac:dyDescent="0.3">
      <c r="A556" s="2" t="s">
        <v>106</v>
      </c>
      <c r="B556" s="2" t="s">
        <v>244</v>
      </c>
      <c r="C556" s="10">
        <v>1</v>
      </c>
    </row>
    <row r="557" spans="1:3" x14ac:dyDescent="0.3">
      <c r="A557" s="2" t="s">
        <v>106</v>
      </c>
      <c r="B557" s="2" t="s">
        <v>245</v>
      </c>
      <c r="C557" s="10">
        <v>10</v>
      </c>
    </row>
    <row r="558" spans="1:3" x14ac:dyDescent="0.3">
      <c r="A558" s="2" t="s">
        <v>106</v>
      </c>
      <c r="B558" s="2" t="s">
        <v>246</v>
      </c>
      <c r="C558" s="10">
        <v>3</v>
      </c>
    </row>
    <row r="559" spans="1:3" x14ac:dyDescent="0.3">
      <c r="A559" s="2" t="s">
        <v>106</v>
      </c>
      <c r="B559" s="2" t="s">
        <v>242</v>
      </c>
      <c r="C559" s="10">
        <v>1</v>
      </c>
    </row>
    <row r="560" spans="1:3" x14ac:dyDescent="0.3">
      <c r="A560" s="2" t="s">
        <v>106</v>
      </c>
      <c r="B560" s="2" t="s">
        <v>243</v>
      </c>
      <c r="C560" s="10">
        <v>2</v>
      </c>
    </row>
    <row r="561" spans="1:3" x14ac:dyDescent="0.3">
      <c r="A561" s="2" t="s">
        <v>107</v>
      </c>
      <c r="B561" s="2" t="s">
        <v>248</v>
      </c>
      <c r="C561" s="10">
        <v>1</v>
      </c>
    </row>
    <row r="562" spans="1:3" x14ac:dyDescent="0.3">
      <c r="A562" s="2" t="s">
        <v>107</v>
      </c>
      <c r="B562" s="2" t="s">
        <v>246</v>
      </c>
      <c r="C562" s="10">
        <v>5</v>
      </c>
    </row>
    <row r="563" spans="1:3" x14ac:dyDescent="0.3">
      <c r="A563" s="2" t="s">
        <v>107</v>
      </c>
      <c r="B563" s="2" t="s">
        <v>245</v>
      </c>
      <c r="C563" s="10">
        <v>2</v>
      </c>
    </row>
    <row r="564" spans="1:3" x14ac:dyDescent="0.3">
      <c r="A564" s="2" t="s">
        <v>107</v>
      </c>
      <c r="B564" s="2" t="s">
        <v>244</v>
      </c>
      <c r="C564" s="10">
        <v>1</v>
      </c>
    </row>
    <row r="565" spans="1:3" x14ac:dyDescent="0.3">
      <c r="A565" s="2" t="s">
        <v>107</v>
      </c>
      <c r="B565" s="2" t="s">
        <v>242</v>
      </c>
      <c r="C565" s="10">
        <v>1</v>
      </c>
    </row>
    <row r="566" spans="1:3" x14ac:dyDescent="0.3">
      <c r="A566" s="2" t="s">
        <v>108</v>
      </c>
      <c r="B566" s="2" t="s">
        <v>244</v>
      </c>
      <c r="C566" s="10">
        <v>1</v>
      </c>
    </row>
    <row r="567" spans="1:3" x14ac:dyDescent="0.3">
      <c r="A567" s="2" t="s">
        <v>108</v>
      </c>
      <c r="B567" s="2" t="s">
        <v>242</v>
      </c>
      <c r="C567" s="10">
        <v>3</v>
      </c>
    </row>
    <row r="568" spans="1:3" x14ac:dyDescent="0.3">
      <c r="A568" s="2" t="s">
        <v>108</v>
      </c>
      <c r="B568" s="2" t="s">
        <v>248</v>
      </c>
      <c r="C568" s="10">
        <v>1</v>
      </c>
    </row>
    <row r="569" spans="1:3" x14ac:dyDescent="0.3">
      <c r="A569" s="2" t="s">
        <v>108</v>
      </c>
      <c r="B569" s="2" t="s">
        <v>246</v>
      </c>
      <c r="C569" s="10">
        <v>1</v>
      </c>
    </row>
    <row r="570" spans="1:3" x14ac:dyDescent="0.3">
      <c r="A570" s="2" t="s">
        <v>108</v>
      </c>
      <c r="B570" s="2" t="s">
        <v>245</v>
      </c>
      <c r="C570" s="10">
        <v>1</v>
      </c>
    </row>
    <row r="571" spans="1:3" x14ac:dyDescent="0.3">
      <c r="A571" s="2" t="s">
        <v>109</v>
      </c>
      <c r="B571" s="2" t="s">
        <v>246</v>
      </c>
      <c r="C571" s="10">
        <v>3</v>
      </c>
    </row>
    <row r="572" spans="1:3" x14ac:dyDescent="0.3">
      <c r="A572" s="2" t="s">
        <v>109</v>
      </c>
      <c r="B572" s="2" t="s">
        <v>245</v>
      </c>
      <c r="C572" s="10">
        <v>4</v>
      </c>
    </row>
    <row r="573" spans="1:3" x14ac:dyDescent="0.3">
      <c r="A573" s="2" t="s">
        <v>109</v>
      </c>
      <c r="B573" s="2" t="s">
        <v>243</v>
      </c>
      <c r="C573" s="10">
        <v>1</v>
      </c>
    </row>
    <row r="574" spans="1:3" x14ac:dyDescent="0.3">
      <c r="A574" s="2" t="s">
        <v>109</v>
      </c>
      <c r="B574" s="2" t="s">
        <v>242</v>
      </c>
      <c r="C574" s="10">
        <v>1</v>
      </c>
    </row>
    <row r="575" spans="1:3" x14ac:dyDescent="0.3">
      <c r="A575" s="2" t="s">
        <v>109</v>
      </c>
      <c r="B575" s="2" t="s">
        <v>247</v>
      </c>
      <c r="C575" s="10">
        <v>1</v>
      </c>
    </row>
    <row r="576" spans="1:3" x14ac:dyDescent="0.3">
      <c r="A576" s="2" t="s">
        <v>110</v>
      </c>
      <c r="B576" s="2" t="s">
        <v>244</v>
      </c>
      <c r="C576" s="10">
        <v>2</v>
      </c>
    </row>
    <row r="577" spans="1:3" x14ac:dyDescent="0.3">
      <c r="A577" s="2" t="s">
        <v>110</v>
      </c>
      <c r="B577" s="2" t="s">
        <v>245</v>
      </c>
      <c r="C577" s="10">
        <v>1</v>
      </c>
    </row>
    <row r="578" spans="1:3" x14ac:dyDescent="0.3">
      <c r="A578" s="2" t="s">
        <v>110</v>
      </c>
      <c r="B578" s="2" t="s">
        <v>243</v>
      </c>
      <c r="C578" s="10">
        <v>1</v>
      </c>
    </row>
    <row r="579" spans="1:3" x14ac:dyDescent="0.3">
      <c r="A579" s="2" t="s">
        <v>111</v>
      </c>
      <c r="B579" s="2" t="s">
        <v>246</v>
      </c>
      <c r="C579" s="10">
        <v>3</v>
      </c>
    </row>
    <row r="580" spans="1:3" x14ac:dyDescent="0.3">
      <c r="A580" s="2" t="s">
        <v>111</v>
      </c>
      <c r="B580" s="2" t="s">
        <v>245</v>
      </c>
      <c r="C580" s="10">
        <v>4</v>
      </c>
    </row>
    <row r="581" spans="1:3" x14ac:dyDescent="0.3">
      <c r="A581" s="2" t="s">
        <v>111</v>
      </c>
      <c r="B581" s="2" t="s">
        <v>243</v>
      </c>
      <c r="C581" s="10">
        <v>1</v>
      </c>
    </row>
    <row r="582" spans="1:3" x14ac:dyDescent="0.3">
      <c r="A582" s="2" t="s">
        <v>111</v>
      </c>
      <c r="B582" s="2" t="s">
        <v>244</v>
      </c>
      <c r="C582" s="10">
        <v>1</v>
      </c>
    </row>
    <row r="583" spans="1:3" x14ac:dyDescent="0.3">
      <c r="A583" s="2" t="s">
        <v>111</v>
      </c>
      <c r="B583" s="2" t="s">
        <v>248</v>
      </c>
      <c r="C583" s="10">
        <v>1</v>
      </c>
    </row>
    <row r="584" spans="1:3" x14ac:dyDescent="0.3">
      <c r="A584" s="2" t="s">
        <v>111</v>
      </c>
      <c r="B584" s="2" t="s">
        <v>247</v>
      </c>
      <c r="C584" s="10">
        <v>1</v>
      </c>
    </row>
    <row r="585" spans="1:3" x14ac:dyDescent="0.3">
      <c r="A585" s="2" t="s">
        <v>112</v>
      </c>
      <c r="B585" s="2" t="s">
        <v>245</v>
      </c>
      <c r="C585" s="10">
        <v>18</v>
      </c>
    </row>
    <row r="586" spans="1:3" x14ac:dyDescent="0.3">
      <c r="A586" s="2" t="s">
        <v>112</v>
      </c>
      <c r="B586" s="2" t="s">
        <v>246</v>
      </c>
      <c r="C586" s="10">
        <v>9</v>
      </c>
    </row>
    <row r="587" spans="1:3" x14ac:dyDescent="0.3">
      <c r="A587" s="2" t="s">
        <v>112</v>
      </c>
      <c r="B587" s="2" t="s">
        <v>242</v>
      </c>
      <c r="C587" s="10">
        <v>7</v>
      </c>
    </row>
    <row r="588" spans="1:3" x14ac:dyDescent="0.3">
      <c r="A588" s="2" t="s">
        <v>112</v>
      </c>
      <c r="B588" s="2" t="s">
        <v>248</v>
      </c>
      <c r="C588" s="10">
        <v>1</v>
      </c>
    </row>
    <row r="589" spans="1:3" x14ac:dyDescent="0.3">
      <c r="A589" s="2" t="s">
        <v>112</v>
      </c>
      <c r="B589" s="2" t="s">
        <v>250</v>
      </c>
      <c r="C589" s="10">
        <v>4</v>
      </c>
    </row>
    <row r="590" spans="1:3" x14ac:dyDescent="0.3">
      <c r="A590" s="2" t="s">
        <v>112</v>
      </c>
      <c r="B590" s="2" t="s">
        <v>243</v>
      </c>
      <c r="C590" s="10">
        <v>1</v>
      </c>
    </row>
    <row r="591" spans="1:3" x14ac:dyDescent="0.3">
      <c r="A591" s="2" t="s">
        <v>112</v>
      </c>
      <c r="B591" s="2" t="s">
        <v>247</v>
      </c>
      <c r="C591" s="10">
        <v>8</v>
      </c>
    </row>
    <row r="592" spans="1:3" x14ac:dyDescent="0.3">
      <c r="A592" s="2" t="s">
        <v>112</v>
      </c>
      <c r="B592" s="2" t="s">
        <v>244</v>
      </c>
      <c r="C592" s="10">
        <v>4</v>
      </c>
    </row>
    <row r="593" spans="1:3" x14ac:dyDescent="0.3">
      <c r="A593" s="2" t="s">
        <v>113</v>
      </c>
      <c r="B593" s="2" t="s">
        <v>246</v>
      </c>
      <c r="C593" s="10">
        <v>2</v>
      </c>
    </row>
    <row r="594" spans="1:3" x14ac:dyDescent="0.3">
      <c r="A594" s="2" t="s">
        <v>113</v>
      </c>
      <c r="B594" s="2" t="s">
        <v>249</v>
      </c>
      <c r="C594" s="10">
        <v>1</v>
      </c>
    </row>
    <row r="595" spans="1:3" x14ac:dyDescent="0.3">
      <c r="A595" s="2" t="s">
        <v>113</v>
      </c>
      <c r="B595" s="2" t="s">
        <v>243</v>
      </c>
      <c r="C595" s="10">
        <v>1</v>
      </c>
    </row>
    <row r="596" spans="1:3" x14ac:dyDescent="0.3">
      <c r="A596" s="2" t="s">
        <v>113</v>
      </c>
      <c r="B596" s="2" t="s">
        <v>245</v>
      </c>
      <c r="C596" s="10">
        <v>2</v>
      </c>
    </row>
    <row r="597" spans="1:3" x14ac:dyDescent="0.3">
      <c r="A597" s="2" t="s">
        <v>114</v>
      </c>
      <c r="B597" s="2" t="s">
        <v>242</v>
      </c>
      <c r="C597" s="10">
        <v>2</v>
      </c>
    </row>
    <row r="598" spans="1:3" x14ac:dyDescent="0.3">
      <c r="A598" s="2" t="s">
        <v>114</v>
      </c>
      <c r="B598" s="2" t="s">
        <v>246</v>
      </c>
      <c r="C598" s="10">
        <v>6</v>
      </c>
    </row>
    <row r="599" spans="1:3" x14ac:dyDescent="0.3">
      <c r="A599" s="2" t="s">
        <v>114</v>
      </c>
      <c r="B599" s="2" t="s">
        <v>247</v>
      </c>
      <c r="C599" s="10">
        <v>2</v>
      </c>
    </row>
    <row r="600" spans="1:3" x14ac:dyDescent="0.3">
      <c r="A600" s="2" t="s">
        <v>114</v>
      </c>
      <c r="B600" s="2" t="s">
        <v>245</v>
      </c>
      <c r="C600" s="10">
        <v>2</v>
      </c>
    </row>
    <row r="601" spans="1:3" x14ac:dyDescent="0.3">
      <c r="A601" s="2" t="s">
        <v>114</v>
      </c>
      <c r="B601" s="2" t="s">
        <v>244</v>
      </c>
      <c r="C601" s="10">
        <v>3</v>
      </c>
    </row>
    <row r="602" spans="1:3" x14ac:dyDescent="0.3">
      <c r="A602" s="2" t="s">
        <v>115</v>
      </c>
      <c r="B602" s="2" t="s">
        <v>245</v>
      </c>
      <c r="C602" s="10">
        <v>6</v>
      </c>
    </row>
    <row r="603" spans="1:3" x14ac:dyDescent="0.3">
      <c r="A603" s="2" t="s">
        <v>115</v>
      </c>
      <c r="B603" s="2" t="s">
        <v>244</v>
      </c>
      <c r="C603" s="10">
        <v>2</v>
      </c>
    </row>
    <row r="604" spans="1:3" x14ac:dyDescent="0.3">
      <c r="A604" s="2" t="s">
        <v>115</v>
      </c>
      <c r="B604" s="2" t="s">
        <v>246</v>
      </c>
      <c r="C604" s="10">
        <v>1</v>
      </c>
    </row>
    <row r="605" spans="1:3" x14ac:dyDescent="0.3">
      <c r="A605" s="2" t="s">
        <v>115</v>
      </c>
      <c r="B605" s="2" t="s">
        <v>253</v>
      </c>
      <c r="C605" s="10">
        <v>1</v>
      </c>
    </row>
    <row r="606" spans="1:3" x14ac:dyDescent="0.3">
      <c r="A606" s="2" t="s">
        <v>115</v>
      </c>
      <c r="B606" s="2" t="s">
        <v>250</v>
      </c>
      <c r="C606" s="10">
        <v>1</v>
      </c>
    </row>
    <row r="607" spans="1:3" x14ac:dyDescent="0.3">
      <c r="A607" s="2" t="s">
        <v>115</v>
      </c>
      <c r="B607" s="2" t="s">
        <v>248</v>
      </c>
      <c r="C607" s="10">
        <v>1</v>
      </c>
    </row>
    <row r="608" spans="1:3" x14ac:dyDescent="0.3">
      <c r="A608" s="2" t="s">
        <v>116</v>
      </c>
      <c r="B608" s="2" t="s">
        <v>242</v>
      </c>
      <c r="C608" s="10">
        <v>2</v>
      </c>
    </row>
    <row r="609" spans="1:3" x14ac:dyDescent="0.3">
      <c r="A609" s="2" t="s">
        <v>116</v>
      </c>
      <c r="B609" s="2" t="s">
        <v>246</v>
      </c>
      <c r="C609" s="10">
        <v>8</v>
      </c>
    </row>
    <row r="610" spans="1:3" x14ac:dyDescent="0.3">
      <c r="A610" s="2" t="s">
        <v>116</v>
      </c>
      <c r="B610" s="2" t="s">
        <v>243</v>
      </c>
      <c r="C610" s="10">
        <v>2</v>
      </c>
    </row>
    <row r="611" spans="1:3" x14ac:dyDescent="0.3">
      <c r="A611" s="2" t="s">
        <v>117</v>
      </c>
      <c r="B611" s="2" t="s">
        <v>246</v>
      </c>
      <c r="C611" s="10">
        <v>8</v>
      </c>
    </row>
    <row r="612" spans="1:3" x14ac:dyDescent="0.3">
      <c r="A612" s="2" t="s">
        <v>117</v>
      </c>
      <c r="B612" s="2" t="s">
        <v>245</v>
      </c>
      <c r="C612" s="10">
        <v>24</v>
      </c>
    </row>
    <row r="613" spans="1:3" x14ac:dyDescent="0.3">
      <c r="A613" s="2" t="s">
        <v>117</v>
      </c>
      <c r="B613" s="2" t="s">
        <v>242</v>
      </c>
      <c r="C613" s="10">
        <v>10</v>
      </c>
    </row>
    <row r="614" spans="1:3" x14ac:dyDescent="0.3">
      <c r="A614" s="2" t="s">
        <v>117</v>
      </c>
      <c r="B614" s="2" t="s">
        <v>244</v>
      </c>
      <c r="C614" s="10">
        <v>5</v>
      </c>
    </row>
    <row r="615" spans="1:3" x14ac:dyDescent="0.3">
      <c r="A615" s="2" t="s">
        <v>117</v>
      </c>
      <c r="B615" s="2" t="s">
        <v>243</v>
      </c>
      <c r="C615" s="10">
        <v>2</v>
      </c>
    </row>
    <row r="616" spans="1:3" x14ac:dyDescent="0.3">
      <c r="A616" s="2" t="s">
        <v>117</v>
      </c>
      <c r="B616" s="2" t="s">
        <v>248</v>
      </c>
      <c r="C616" s="10">
        <v>1</v>
      </c>
    </row>
    <row r="617" spans="1:3" x14ac:dyDescent="0.3">
      <c r="A617" s="2" t="s">
        <v>117</v>
      </c>
      <c r="B617" s="2" t="s">
        <v>250</v>
      </c>
      <c r="C617" s="10">
        <v>1</v>
      </c>
    </row>
    <row r="618" spans="1:3" x14ac:dyDescent="0.3">
      <c r="A618" s="2" t="s">
        <v>117</v>
      </c>
      <c r="B618" s="2" t="s">
        <v>247</v>
      </c>
      <c r="C618" s="10">
        <v>2</v>
      </c>
    </row>
    <row r="619" spans="1:3" x14ac:dyDescent="0.3">
      <c r="A619" s="2" t="s">
        <v>117</v>
      </c>
      <c r="B619" s="2" t="s">
        <v>253</v>
      </c>
      <c r="C619" s="10">
        <v>1</v>
      </c>
    </row>
    <row r="620" spans="1:3" x14ac:dyDescent="0.3">
      <c r="A620" s="2" t="s">
        <v>118</v>
      </c>
      <c r="B620" s="2" t="s">
        <v>243</v>
      </c>
      <c r="C620" s="10">
        <v>1</v>
      </c>
    </row>
    <row r="621" spans="1:3" x14ac:dyDescent="0.3">
      <c r="A621" s="2" t="s">
        <v>118</v>
      </c>
      <c r="B621" s="2" t="s">
        <v>247</v>
      </c>
      <c r="C621" s="10">
        <v>10</v>
      </c>
    </row>
    <row r="622" spans="1:3" x14ac:dyDescent="0.3">
      <c r="A622" s="2" t="s">
        <v>118</v>
      </c>
      <c r="B622" s="2" t="s">
        <v>245</v>
      </c>
      <c r="C622" s="10">
        <v>75</v>
      </c>
    </row>
    <row r="623" spans="1:3" x14ac:dyDescent="0.3">
      <c r="A623" s="2" t="s">
        <v>118</v>
      </c>
      <c r="B623" s="2" t="s">
        <v>254</v>
      </c>
      <c r="C623" s="10">
        <v>48</v>
      </c>
    </row>
    <row r="624" spans="1:3" x14ac:dyDescent="0.3">
      <c r="A624" s="2" t="s">
        <v>118</v>
      </c>
      <c r="B624" s="2" t="s">
        <v>242</v>
      </c>
      <c r="C624" s="10">
        <v>5</v>
      </c>
    </row>
    <row r="625" spans="1:3" x14ac:dyDescent="0.3">
      <c r="A625" s="2" t="s">
        <v>118</v>
      </c>
      <c r="B625" s="2" t="s">
        <v>246</v>
      </c>
      <c r="C625" s="10">
        <v>5</v>
      </c>
    </row>
    <row r="626" spans="1:3" x14ac:dyDescent="0.3">
      <c r="A626" s="2" t="s">
        <v>118</v>
      </c>
      <c r="B626" s="2" t="s">
        <v>244</v>
      </c>
      <c r="C626" s="10">
        <v>10</v>
      </c>
    </row>
    <row r="627" spans="1:3" x14ac:dyDescent="0.3">
      <c r="A627" s="2" t="s">
        <v>118</v>
      </c>
      <c r="B627" s="2" t="s">
        <v>252</v>
      </c>
      <c r="C627" s="10">
        <v>1</v>
      </c>
    </row>
    <row r="628" spans="1:3" x14ac:dyDescent="0.3">
      <c r="A628" s="2" t="s">
        <v>118</v>
      </c>
      <c r="B628" s="2" t="s">
        <v>253</v>
      </c>
      <c r="C628" s="10">
        <v>1</v>
      </c>
    </row>
    <row r="629" spans="1:3" x14ac:dyDescent="0.3">
      <c r="A629" s="2" t="s">
        <v>119</v>
      </c>
      <c r="B629" s="2" t="s">
        <v>244</v>
      </c>
      <c r="C629" s="10">
        <v>1</v>
      </c>
    </row>
    <row r="630" spans="1:3" x14ac:dyDescent="0.3">
      <c r="A630" s="2" t="s">
        <v>119</v>
      </c>
      <c r="B630" s="2" t="s">
        <v>242</v>
      </c>
      <c r="C630" s="10">
        <v>1</v>
      </c>
    </row>
    <row r="631" spans="1:3" x14ac:dyDescent="0.3">
      <c r="A631" s="2" t="s">
        <v>119</v>
      </c>
      <c r="B631" s="2" t="s">
        <v>246</v>
      </c>
      <c r="C631" s="10">
        <v>1</v>
      </c>
    </row>
    <row r="632" spans="1:3" x14ac:dyDescent="0.3">
      <c r="A632" s="2" t="s">
        <v>119</v>
      </c>
      <c r="B632" s="2" t="s">
        <v>248</v>
      </c>
      <c r="C632" s="10">
        <v>1</v>
      </c>
    </row>
    <row r="633" spans="1:3" x14ac:dyDescent="0.3">
      <c r="A633" s="2" t="s">
        <v>120</v>
      </c>
      <c r="B633" s="2" t="s">
        <v>245</v>
      </c>
      <c r="C633" s="10">
        <v>3</v>
      </c>
    </row>
    <row r="634" spans="1:3" x14ac:dyDescent="0.3">
      <c r="A634" s="2" t="s">
        <v>120</v>
      </c>
      <c r="B634" s="2" t="s">
        <v>246</v>
      </c>
      <c r="C634" s="10">
        <v>1</v>
      </c>
    </row>
    <row r="635" spans="1:3" x14ac:dyDescent="0.3">
      <c r="A635" s="2" t="s">
        <v>120</v>
      </c>
      <c r="B635" s="2" t="s">
        <v>244</v>
      </c>
      <c r="C635" s="10">
        <v>5</v>
      </c>
    </row>
    <row r="636" spans="1:3" x14ac:dyDescent="0.3">
      <c r="A636" s="2" t="s">
        <v>120</v>
      </c>
      <c r="B636" s="2" t="s">
        <v>247</v>
      </c>
      <c r="C636" s="10">
        <v>1</v>
      </c>
    </row>
    <row r="637" spans="1:3" x14ac:dyDescent="0.3">
      <c r="A637" s="2" t="s">
        <v>120</v>
      </c>
      <c r="B637" s="2" t="s">
        <v>243</v>
      </c>
      <c r="C637" s="10">
        <v>1</v>
      </c>
    </row>
    <row r="638" spans="1:3" x14ac:dyDescent="0.3">
      <c r="A638" s="2" t="s">
        <v>121</v>
      </c>
      <c r="B638" s="2" t="s">
        <v>253</v>
      </c>
      <c r="C638" s="10">
        <v>1</v>
      </c>
    </row>
    <row r="639" spans="1:3" x14ac:dyDescent="0.3">
      <c r="A639" s="2" t="s">
        <v>121</v>
      </c>
      <c r="B639" s="2" t="s">
        <v>245</v>
      </c>
      <c r="C639" s="10">
        <v>2</v>
      </c>
    </row>
    <row r="640" spans="1:3" x14ac:dyDescent="0.3">
      <c r="A640" s="2" t="s">
        <v>121</v>
      </c>
      <c r="B640" s="2" t="s">
        <v>247</v>
      </c>
      <c r="C640" s="10">
        <v>3</v>
      </c>
    </row>
    <row r="641" spans="1:3" x14ac:dyDescent="0.3">
      <c r="A641" s="2" t="s">
        <v>121</v>
      </c>
      <c r="B641" s="2" t="s">
        <v>242</v>
      </c>
      <c r="C641" s="10">
        <v>1</v>
      </c>
    </row>
    <row r="642" spans="1:3" x14ac:dyDescent="0.3">
      <c r="A642" s="2" t="s">
        <v>122</v>
      </c>
      <c r="B642" s="2" t="s">
        <v>245</v>
      </c>
      <c r="C642" s="10">
        <v>3</v>
      </c>
    </row>
    <row r="643" spans="1:3" x14ac:dyDescent="0.3">
      <c r="A643" s="2" t="s">
        <v>122</v>
      </c>
      <c r="B643" s="2" t="s">
        <v>246</v>
      </c>
      <c r="C643" s="10">
        <v>8</v>
      </c>
    </row>
    <row r="644" spans="1:3" x14ac:dyDescent="0.3">
      <c r="A644" s="2" t="s">
        <v>122</v>
      </c>
      <c r="B644" s="2" t="s">
        <v>248</v>
      </c>
      <c r="C644" s="10">
        <v>1</v>
      </c>
    </row>
    <row r="645" spans="1:3" x14ac:dyDescent="0.3">
      <c r="A645" s="2" t="s">
        <v>122</v>
      </c>
      <c r="B645" s="2" t="s">
        <v>251</v>
      </c>
      <c r="C645" s="10">
        <v>1</v>
      </c>
    </row>
    <row r="646" spans="1:3" x14ac:dyDescent="0.3">
      <c r="A646" s="2" t="s">
        <v>122</v>
      </c>
      <c r="B646" s="2" t="s">
        <v>253</v>
      </c>
      <c r="C646" s="10">
        <v>2</v>
      </c>
    </row>
    <row r="647" spans="1:3" x14ac:dyDescent="0.3">
      <c r="A647" s="2" t="s">
        <v>122</v>
      </c>
      <c r="B647" s="2" t="s">
        <v>244</v>
      </c>
      <c r="C647" s="10">
        <v>1</v>
      </c>
    </row>
    <row r="648" spans="1:3" x14ac:dyDescent="0.3">
      <c r="A648" s="2" t="s">
        <v>122</v>
      </c>
      <c r="B648" s="2" t="s">
        <v>247</v>
      </c>
      <c r="C648" s="10">
        <v>1</v>
      </c>
    </row>
    <row r="649" spans="1:3" x14ac:dyDescent="0.3">
      <c r="A649" s="2" t="s">
        <v>122</v>
      </c>
      <c r="B649" s="2" t="s">
        <v>243</v>
      </c>
      <c r="C649" s="10">
        <v>1</v>
      </c>
    </row>
    <row r="650" spans="1:3" x14ac:dyDescent="0.3">
      <c r="A650" s="2" t="s">
        <v>123</v>
      </c>
      <c r="B650" s="2" t="s">
        <v>245</v>
      </c>
      <c r="C650" s="10">
        <v>1</v>
      </c>
    </row>
    <row r="651" spans="1:3" x14ac:dyDescent="0.3">
      <c r="A651" s="2" t="s">
        <v>124</v>
      </c>
      <c r="B651" s="2" t="s">
        <v>248</v>
      </c>
      <c r="C651" s="10">
        <v>1</v>
      </c>
    </row>
    <row r="652" spans="1:3" x14ac:dyDescent="0.3">
      <c r="A652" s="2" t="s">
        <v>124</v>
      </c>
      <c r="B652" s="2" t="s">
        <v>246</v>
      </c>
      <c r="C652" s="10">
        <v>2</v>
      </c>
    </row>
    <row r="653" spans="1:3" x14ac:dyDescent="0.3">
      <c r="A653" s="2" t="s">
        <v>124</v>
      </c>
      <c r="B653" s="2" t="s">
        <v>247</v>
      </c>
      <c r="C653" s="10">
        <v>1</v>
      </c>
    </row>
    <row r="654" spans="1:3" x14ac:dyDescent="0.3">
      <c r="A654" s="2" t="s">
        <v>125</v>
      </c>
      <c r="B654" s="2" t="s">
        <v>247</v>
      </c>
      <c r="C654" s="10">
        <v>2</v>
      </c>
    </row>
    <row r="655" spans="1:3" x14ac:dyDescent="0.3">
      <c r="A655" s="2" t="s">
        <v>125</v>
      </c>
      <c r="B655" s="2" t="s">
        <v>246</v>
      </c>
      <c r="C655" s="10">
        <v>3</v>
      </c>
    </row>
    <row r="656" spans="1:3" x14ac:dyDescent="0.3">
      <c r="A656" s="2" t="s">
        <v>126</v>
      </c>
      <c r="B656" s="2" t="s">
        <v>245</v>
      </c>
      <c r="C656" s="10">
        <v>3</v>
      </c>
    </row>
    <row r="657" spans="1:3" x14ac:dyDescent="0.3">
      <c r="A657" s="2" t="s">
        <v>126</v>
      </c>
      <c r="B657" s="2" t="s">
        <v>247</v>
      </c>
      <c r="C657" s="10">
        <v>2</v>
      </c>
    </row>
    <row r="658" spans="1:3" x14ac:dyDescent="0.3">
      <c r="A658" s="2" t="s">
        <v>126</v>
      </c>
      <c r="B658" s="2" t="s">
        <v>242</v>
      </c>
      <c r="C658" s="10">
        <v>2</v>
      </c>
    </row>
    <row r="659" spans="1:3" x14ac:dyDescent="0.3">
      <c r="A659" s="2" t="s">
        <v>126</v>
      </c>
      <c r="B659" s="2" t="s">
        <v>246</v>
      </c>
      <c r="C659" s="10">
        <v>5</v>
      </c>
    </row>
    <row r="660" spans="1:3" x14ac:dyDescent="0.3">
      <c r="A660" s="2" t="s">
        <v>126</v>
      </c>
      <c r="B660" s="2" t="s">
        <v>243</v>
      </c>
      <c r="C660" s="10">
        <v>20</v>
      </c>
    </row>
    <row r="661" spans="1:3" x14ac:dyDescent="0.3">
      <c r="A661" s="2" t="s">
        <v>127</v>
      </c>
      <c r="B661" s="2" t="s">
        <v>242</v>
      </c>
      <c r="C661" s="10">
        <v>5</v>
      </c>
    </row>
    <row r="662" spans="1:3" x14ac:dyDescent="0.3">
      <c r="A662" s="2" t="s">
        <v>127</v>
      </c>
      <c r="B662" s="2" t="s">
        <v>245</v>
      </c>
      <c r="C662" s="10">
        <v>5</v>
      </c>
    </row>
    <row r="663" spans="1:3" x14ac:dyDescent="0.3">
      <c r="A663" s="2" t="s">
        <v>127</v>
      </c>
      <c r="B663" s="2" t="s">
        <v>246</v>
      </c>
      <c r="C663" s="10">
        <v>4</v>
      </c>
    </row>
    <row r="664" spans="1:3" x14ac:dyDescent="0.3">
      <c r="A664" s="2" t="s">
        <v>127</v>
      </c>
      <c r="B664" s="2" t="s">
        <v>244</v>
      </c>
      <c r="C664" s="10">
        <v>1</v>
      </c>
    </row>
    <row r="665" spans="1:3" x14ac:dyDescent="0.3">
      <c r="A665" s="2" t="s">
        <v>127</v>
      </c>
      <c r="B665" s="2" t="s">
        <v>243</v>
      </c>
      <c r="C665" s="10">
        <v>4</v>
      </c>
    </row>
    <row r="666" spans="1:3" x14ac:dyDescent="0.3">
      <c r="A666" s="2" t="s">
        <v>127</v>
      </c>
      <c r="B666" s="2" t="s">
        <v>247</v>
      </c>
      <c r="C666" s="10">
        <v>1</v>
      </c>
    </row>
    <row r="667" spans="1:3" x14ac:dyDescent="0.3">
      <c r="A667" s="2" t="s">
        <v>128</v>
      </c>
      <c r="B667" s="2" t="s">
        <v>245</v>
      </c>
      <c r="C667" s="10">
        <v>26</v>
      </c>
    </row>
    <row r="668" spans="1:3" x14ac:dyDescent="0.3">
      <c r="A668" s="2" t="s">
        <v>128</v>
      </c>
      <c r="B668" s="2" t="s">
        <v>250</v>
      </c>
      <c r="C668" s="10">
        <v>2</v>
      </c>
    </row>
    <row r="669" spans="1:3" x14ac:dyDescent="0.3">
      <c r="A669" s="2" t="s">
        <v>128</v>
      </c>
      <c r="B669" s="2" t="s">
        <v>246</v>
      </c>
      <c r="C669" s="10">
        <v>6</v>
      </c>
    </row>
    <row r="670" spans="1:3" x14ac:dyDescent="0.3">
      <c r="A670" s="2" t="s">
        <v>128</v>
      </c>
      <c r="B670" s="2" t="s">
        <v>247</v>
      </c>
      <c r="C670" s="10">
        <v>3</v>
      </c>
    </row>
    <row r="671" spans="1:3" x14ac:dyDescent="0.3">
      <c r="A671" s="2" t="s">
        <v>128</v>
      </c>
      <c r="B671" s="2" t="s">
        <v>249</v>
      </c>
      <c r="C671" s="10">
        <v>2</v>
      </c>
    </row>
    <row r="672" spans="1:3" x14ac:dyDescent="0.3">
      <c r="A672" s="2" t="s">
        <v>128</v>
      </c>
      <c r="B672" s="2" t="s">
        <v>242</v>
      </c>
      <c r="C672" s="10">
        <v>3</v>
      </c>
    </row>
    <row r="673" spans="1:3" x14ac:dyDescent="0.3">
      <c r="A673" s="2" t="s">
        <v>128</v>
      </c>
      <c r="B673" s="2" t="s">
        <v>244</v>
      </c>
      <c r="C673" s="10">
        <v>7</v>
      </c>
    </row>
    <row r="674" spans="1:3" x14ac:dyDescent="0.3">
      <c r="A674" s="2" t="s">
        <v>129</v>
      </c>
      <c r="B674" s="2" t="s">
        <v>242</v>
      </c>
      <c r="C674" s="10">
        <v>3</v>
      </c>
    </row>
    <row r="675" spans="1:3" x14ac:dyDescent="0.3">
      <c r="A675" s="2" t="s">
        <v>129</v>
      </c>
      <c r="B675" s="2" t="s">
        <v>245</v>
      </c>
      <c r="C675" s="10">
        <v>6</v>
      </c>
    </row>
    <row r="676" spans="1:3" x14ac:dyDescent="0.3">
      <c r="A676" s="2" t="s">
        <v>129</v>
      </c>
      <c r="B676" s="2" t="s">
        <v>246</v>
      </c>
      <c r="C676" s="10">
        <v>8</v>
      </c>
    </row>
    <row r="677" spans="1:3" x14ac:dyDescent="0.3">
      <c r="A677" s="2" t="s">
        <v>129</v>
      </c>
      <c r="B677" s="2" t="s">
        <v>244</v>
      </c>
      <c r="C677" s="10">
        <v>4</v>
      </c>
    </row>
    <row r="678" spans="1:3" x14ac:dyDescent="0.3">
      <c r="A678" s="2" t="s">
        <v>129</v>
      </c>
      <c r="B678" s="2" t="s">
        <v>247</v>
      </c>
      <c r="C678" s="10">
        <v>1</v>
      </c>
    </row>
    <row r="679" spans="1:3" x14ac:dyDescent="0.3">
      <c r="A679" s="2" t="s">
        <v>129</v>
      </c>
      <c r="B679" s="2" t="s">
        <v>250</v>
      </c>
      <c r="C679" s="10">
        <v>1</v>
      </c>
    </row>
    <row r="680" spans="1:3" x14ac:dyDescent="0.3">
      <c r="A680" s="2" t="s">
        <v>130</v>
      </c>
      <c r="B680" s="2" t="s">
        <v>245</v>
      </c>
      <c r="C680" s="10">
        <v>3</v>
      </c>
    </row>
    <row r="681" spans="1:3" x14ac:dyDescent="0.3">
      <c r="A681" s="2" t="s">
        <v>130</v>
      </c>
      <c r="B681" s="2" t="s">
        <v>243</v>
      </c>
      <c r="C681" s="10">
        <v>10</v>
      </c>
    </row>
    <row r="682" spans="1:3" x14ac:dyDescent="0.3">
      <c r="A682" s="2" t="s">
        <v>130</v>
      </c>
      <c r="B682" s="2" t="s">
        <v>246</v>
      </c>
      <c r="C682" s="10">
        <v>1</v>
      </c>
    </row>
    <row r="683" spans="1:3" x14ac:dyDescent="0.3">
      <c r="A683" s="2" t="s">
        <v>130</v>
      </c>
      <c r="B683" s="2" t="s">
        <v>244</v>
      </c>
      <c r="C683" s="10">
        <v>1</v>
      </c>
    </row>
    <row r="684" spans="1:3" x14ac:dyDescent="0.3">
      <c r="A684" s="2" t="s">
        <v>130</v>
      </c>
      <c r="B684" s="2" t="s">
        <v>242</v>
      </c>
      <c r="C684" s="10">
        <v>1</v>
      </c>
    </row>
    <row r="685" spans="1:3" x14ac:dyDescent="0.3">
      <c r="A685" s="2" t="s">
        <v>131</v>
      </c>
      <c r="B685" s="2" t="s">
        <v>247</v>
      </c>
      <c r="C685" s="10">
        <v>1</v>
      </c>
    </row>
    <row r="686" spans="1:3" x14ac:dyDescent="0.3">
      <c r="A686" s="2" t="s">
        <v>131</v>
      </c>
      <c r="B686" s="2" t="s">
        <v>242</v>
      </c>
      <c r="C686" s="10">
        <v>3</v>
      </c>
    </row>
    <row r="687" spans="1:3" x14ac:dyDescent="0.3">
      <c r="A687" s="2" t="s">
        <v>131</v>
      </c>
      <c r="B687" s="2" t="s">
        <v>244</v>
      </c>
      <c r="C687" s="10">
        <v>2</v>
      </c>
    </row>
    <row r="688" spans="1:3" x14ac:dyDescent="0.3">
      <c r="A688" s="2" t="s">
        <v>131</v>
      </c>
      <c r="B688" s="2" t="s">
        <v>245</v>
      </c>
      <c r="C688" s="10">
        <v>3</v>
      </c>
    </row>
    <row r="689" spans="1:3" x14ac:dyDescent="0.3">
      <c r="A689" s="2" t="s">
        <v>131</v>
      </c>
      <c r="B689" s="2" t="s">
        <v>246</v>
      </c>
      <c r="C689" s="10">
        <v>1</v>
      </c>
    </row>
    <row r="690" spans="1:3" x14ac:dyDescent="0.3">
      <c r="A690" s="2" t="s">
        <v>132</v>
      </c>
      <c r="B690" s="2" t="s">
        <v>248</v>
      </c>
      <c r="C690" s="10">
        <v>1</v>
      </c>
    </row>
    <row r="691" spans="1:3" x14ac:dyDescent="0.3">
      <c r="A691" s="2" t="s">
        <v>133</v>
      </c>
      <c r="B691" s="2" t="s">
        <v>245</v>
      </c>
      <c r="C691" s="10">
        <v>7</v>
      </c>
    </row>
    <row r="692" spans="1:3" x14ac:dyDescent="0.3">
      <c r="A692" s="2" t="s">
        <v>133</v>
      </c>
      <c r="B692" s="2" t="s">
        <v>248</v>
      </c>
      <c r="C692" s="10">
        <v>1</v>
      </c>
    </row>
    <row r="693" spans="1:3" x14ac:dyDescent="0.3">
      <c r="A693" s="2" t="s">
        <v>133</v>
      </c>
      <c r="B693" s="2" t="s">
        <v>243</v>
      </c>
      <c r="C693" s="10">
        <v>2</v>
      </c>
    </row>
    <row r="694" spans="1:3" x14ac:dyDescent="0.3">
      <c r="A694" s="2" t="s">
        <v>133</v>
      </c>
      <c r="B694" s="2" t="s">
        <v>242</v>
      </c>
      <c r="C694" s="10">
        <v>1</v>
      </c>
    </row>
    <row r="695" spans="1:3" x14ac:dyDescent="0.3">
      <c r="A695" s="2" t="s">
        <v>133</v>
      </c>
      <c r="B695" s="2" t="s">
        <v>244</v>
      </c>
      <c r="C695" s="10">
        <v>1</v>
      </c>
    </row>
    <row r="696" spans="1:3" x14ac:dyDescent="0.3">
      <c r="A696" s="2" t="s">
        <v>133</v>
      </c>
      <c r="B696" s="2" t="s">
        <v>247</v>
      </c>
      <c r="C696" s="10">
        <v>1</v>
      </c>
    </row>
    <row r="697" spans="1:3" x14ac:dyDescent="0.3">
      <c r="A697" s="2" t="s">
        <v>134</v>
      </c>
      <c r="B697" s="2" t="s">
        <v>243</v>
      </c>
      <c r="C697" s="10">
        <v>1</v>
      </c>
    </row>
    <row r="698" spans="1:3" x14ac:dyDescent="0.3">
      <c r="A698" s="2" t="s">
        <v>134</v>
      </c>
      <c r="B698" s="2" t="s">
        <v>245</v>
      </c>
      <c r="C698" s="10">
        <v>2</v>
      </c>
    </row>
    <row r="699" spans="1:3" x14ac:dyDescent="0.3">
      <c r="A699" s="2" t="s">
        <v>134</v>
      </c>
      <c r="B699" s="2" t="s">
        <v>242</v>
      </c>
      <c r="C699" s="10">
        <v>2</v>
      </c>
    </row>
    <row r="700" spans="1:3" x14ac:dyDescent="0.3">
      <c r="A700" s="2" t="s">
        <v>134</v>
      </c>
      <c r="B700" s="2" t="s">
        <v>255</v>
      </c>
      <c r="C700" s="10">
        <v>1</v>
      </c>
    </row>
    <row r="701" spans="1:3" x14ac:dyDescent="0.3">
      <c r="A701" s="2" t="s">
        <v>134</v>
      </c>
      <c r="B701" s="2" t="s">
        <v>246</v>
      </c>
      <c r="C701" s="10">
        <v>2</v>
      </c>
    </row>
    <row r="702" spans="1:3" x14ac:dyDescent="0.3">
      <c r="A702" s="2" t="s">
        <v>134</v>
      </c>
      <c r="B702" s="2" t="s">
        <v>244</v>
      </c>
      <c r="C702" s="10">
        <v>1</v>
      </c>
    </row>
    <row r="703" spans="1:3" x14ac:dyDescent="0.3">
      <c r="A703" s="2" t="s">
        <v>135</v>
      </c>
      <c r="B703" s="2" t="s">
        <v>245</v>
      </c>
      <c r="C703" s="10">
        <v>7</v>
      </c>
    </row>
    <row r="704" spans="1:3" x14ac:dyDescent="0.3">
      <c r="A704" s="2" t="s">
        <v>135</v>
      </c>
      <c r="B704" s="2" t="s">
        <v>246</v>
      </c>
      <c r="C704" s="10">
        <v>3</v>
      </c>
    </row>
    <row r="705" spans="1:3" x14ac:dyDescent="0.3">
      <c r="A705" s="2" t="s">
        <v>135</v>
      </c>
      <c r="B705" s="2" t="s">
        <v>248</v>
      </c>
      <c r="C705" s="10">
        <v>1</v>
      </c>
    </row>
    <row r="706" spans="1:3" x14ac:dyDescent="0.3">
      <c r="A706" s="2" t="s">
        <v>135</v>
      </c>
      <c r="B706" s="2" t="s">
        <v>244</v>
      </c>
      <c r="C706" s="10">
        <v>1</v>
      </c>
    </row>
    <row r="707" spans="1:3" x14ac:dyDescent="0.3">
      <c r="A707" s="2" t="s">
        <v>135</v>
      </c>
      <c r="B707" s="2" t="s">
        <v>243</v>
      </c>
      <c r="C707" s="10">
        <v>1</v>
      </c>
    </row>
    <row r="708" spans="1:3" x14ac:dyDescent="0.3">
      <c r="A708" s="2" t="s">
        <v>136</v>
      </c>
      <c r="B708" s="2" t="s">
        <v>244</v>
      </c>
      <c r="C708" s="10">
        <v>1</v>
      </c>
    </row>
    <row r="709" spans="1:3" x14ac:dyDescent="0.3">
      <c r="A709" s="2" t="s">
        <v>136</v>
      </c>
      <c r="B709" s="2" t="s">
        <v>246</v>
      </c>
      <c r="C709" s="10">
        <v>1</v>
      </c>
    </row>
    <row r="710" spans="1:3" x14ac:dyDescent="0.3">
      <c r="A710" s="2" t="s">
        <v>136</v>
      </c>
      <c r="B710" s="2" t="s">
        <v>242</v>
      </c>
      <c r="C710" s="10">
        <v>1</v>
      </c>
    </row>
    <row r="711" spans="1:3" x14ac:dyDescent="0.3">
      <c r="A711" s="2" t="s">
        <v>136</v>
      </c>
      <c r="B711" s="2" t="s">
        <v>245</v>
      </c>
      <c r="C711" s="10">
        <v>1</v>
      </c>
    </row>
    <row r="712" spans="1:3" x14ac:dyDescent="0.3">
      <c r="A712" s="2" t="s">
        <v>137</v>
      </c>
      <c r="B712" s="2" t="s">
        <v>246</v>
      </c>
      <c r="C712" s="10">
        <v>6</v>
      </c>
    </row>
    <row r="713" spans="1:3" x14ac:dyDescent="0.3">
      <c r="A713" s="2" t="s">
        <v>137</v>
      </c>
      <c r="B713" s="2" t="s">
        <v>247</v>
      </c>
      <c r="C713" s="10">
        <v>1</v>
      </c>
    </row>
    <row r="714" spans="1:3" x14ac:dyDescent="0.3">
      <c r="A714" s="2" t="s">
        <v>137</v>
      </c>
      <c r="B714" s="2" t="s">
        <v>245</v>
      </c>
      <c r="C714" s="10">
        <v>1</v>
      </c>
    </row>
    <row r="715" spans="1:3" x14ac:dyDescent="0.3">
      <c r="A715" s="2" t="s">
        <v>137</v>
      </c>
      <c r="B715" s="2" t="s">
        <v>242</v>
      </c>
      <c r="C715" s="10">
        <v>1</v>
      </c>
    </row>
    <row r="716" spans="1:3" x14ac:dyDescent="0.3">
      <c r="A716" s="2" t="s">
        <v>138</v>
      </c>
      <c r="B716" s="2" t="s">
        <v>246</v>
      </c>
      <c r="C716" s="10">
        <v>3</v>
      </c>
    </row>
    <row r="717" spans="1:3" x14ac:dyDescent="0.3">
      <c r="A717" s="2" t="s">
        <v>138</v>
      </c>
      <c r="B717" s="2" t="s">
        <v>245</v>
      </c>
      <c r="C717" s="10">
        <v>8</v>
      </c>
    </row>
    <row r="718" spans="1:3" x14ac:dyDescent="0.3">
      <c r="A718" s="2" t="s">
        <v>138</v>
      </c>
      <c r="B718" s="2" t="s">
        <v>244</v>
      </c>
      <c r="C718" s="10">
        <v>1</v>
      </c>
    </row>
    <row r="719" spans="1:3" x14ac:dyDescent="0.3">
      <c r="A719" s="2" t="s">
        <v>138</v>
      </c>
      <c r="B719" s="2" t="s">
        <v>242</v>
      </c>
      <c r="C719" s="10">
        <v>1</v>
      </c>
    </row>
    <row r="720" spans="1:3" x14ac:dyDescent="0.3">
      <c r="A720" s="2" t="s">
        <v>138</v>
      </c>
      <c r="B720" s="2" t="s">
        <v>243</v>
      </c>
      <c r="C720" s="10">
        <v>5</v>
      </c>
    </row>
    <row r="721" spans="1:3" x14ac:dyDescent="0.3">
      <c r="A721" s="2" t="s">
        <v>138</v>
      </c>
      <c r="B721" s="2" t="s">
        <v>248</v>
      </c>
      <c r="C721" s="10">
        <v>1</v>
      </c>
    </row>
    <row r="722" spans="1:3" x14ac:dyDescent="0.3">
      <c r="A722" s="2" t="s">
        <v>139</v>
      </c>
      <c r="B722" s="2" t="s">
        <v>247</v>
      </c>
      <c r="C722" s="10">
        <v>1</v>
      </c>
    </row>
    <row r="723" spans="1:3" x14ac:dyDescent="0.3">
      <c r="A723" s="2" t="s">
        <v>139</v>
      </c>
      <c r="B723" s="2" t="s">
        <v>245</v>
      </c>
      <c r="C723" s="10">
        <v>2</v>
      </c>
    </row>
    <row r="724" spans="1:3" x14ac:dyDescent="0.3">
      <c r="A724" s="2" t="s">
        <v>139</v>
      </c>
      <c r="B724" s="2" t="s">
        <v>250</v>
      </c>
      <c r="C724" s="10">
        <v>1</v>
      </c>
    </row>
    <row r="725" spans="1:3" x14ac:dyDescent="0.3">
      <c r="A725" s="2" t="s">
        <v>139</v>
      </c>
      <c r="B725" s="2" t="s">
        <v>244</v>
      </c>
      <c r="C725" s="10">
        <v>2</v>
      </c>
    </row>
    <row r="726" spans="1:3" x14ac:dyDescent="0.3">
      <c r="A726" s="2" t="s">
        <v>139</v>
      </c>
      <c r="B726" s="2" t="s">
        <v>246</v>
      </c>
      <c r="C726" s="10">
        <v>2</v>
      </c>
    </row>
    <row r="727" spans="1:3" x14ac:dyDescent="0.3">
      <c r="A727" s="2" t="s">
        <v>140</v>
      </c>
      <c r="B727" s="2" t="s">
        <v>245</v>
      </c>
      <c r="C727" s="10">
        <v>6</v>
      </c>
    </row>
    <row r="728" spans="1:3" x14ac:dyDescent="0.3">
      <c r="A728" s="2" t="s">
        <v>140</v>
      </c>
      <c r="B728" s="2" t="s">
        <v>246</v>
      </c>
      <c r="C728" s="10">
        <v>4</v>
      </c>
    </row>
    <row r="729" spans="1:3" x14ac:dyDescent="0.3">
      <c r="A729" s="2" t="s">
        <v>140</v>
      </c>
      <c r="B729" s="2" t="s">
        <v>247</v>
      </c>
      <c r="C729" s="10">
        <v>2</v>
      </c>
    </row>
    <row r="730" spans="1:3" x14ac:dyDescent="0.3">
      <c r="A730" s="2" t="s">
        <v>140</v>
      </c>
      <c r="B730" s="2" t="s">
        <v>242</v>
      </c>
      <c r="C730" s="10">
        <v>1</v>
      </c>
    </row>
    <row r="731" spans="1:3" x14ac:dyDescent="0.3">
      <c r="A731" s="2" t="s">
        <v>141</v>
      </c>
      <c r="B731" s="2" t="s">
        <v>245</v>
      </c>
      <c r="C731" s="10">
        <v>2</v>
      </c>
    </row>
    <row r="732" spans="1:3" x14ac:dyDescent="0.3">
      <c r="A732" s="2" t="s">
        <v>141</v>
      </c>
      <c r="B732" s="2" t="s">
        <v>246</v>
      </c>
      <c r="C732" s="10">
        <v>2</v>
      </c>
    </row>
    <row r="733" spans="1:3" x14ac:dyDescent="0.3">
      <c r="A733" s="2" t="s">
        <v>141</v>
      </c>
      <c r="B733" s="2" t="s">
        <v>243</v>
      </c>
      <c r="C733" s="10">
        <v>1</v>
      </c>
    </row>
    <row r="734" spans="1:3" x14ac:dyDescent="0.3">
      <c r="A734" s="2" t="s">
        <v>142</v>
      </c>
      <c r="B734" s="2" t="s">
        <v>242</v>
      </c>
      <c r="C734" s="10">
        <v>3</v>
      </c>
    </row>
    <row r="735" spans="1:3" x14ac:dyDescent="0.3">
      <c r="A735" s="2" t="s">
        <v>142</v>
      </c>
      <c r="B735" s="2" t="s">
        <v>246</v>
      </c>
      <c r="C735" s="10">
        <v>4</v>
      </c>
    </row>
    <row r="736" spans="1:3" x14ac:dyDescent="0.3">
      <c r="A736" s="2" t="s">
        <v>142</v>
      </c>
      <c r="B736" s="2" t="s">
        <v>245</v>
      </c>
      <c r="C736" s="10">
        <v>2</v>
      </c>
    </row>
    <row r="737" spans="1:3" x14ac:dyDescent="0.3">
      <c r="A737" s="2" t="s">
        <v>142</v>
      </c>
      <c r="B737" s="2" t="s">
        <v>248</v>
      </c>
      <c r="C737" s="10">
        <v>1</v>
      </c>
    </row>
    <row r="738" spans="1:3" x14ac:dyDescent="0.3">
      <c r="A738" s="2" t="s">
        <v>142</v>
      </c>
      <c r="B738" s="2" t="s">
        <v>247</v>
      </c>
      <c r="C738" s="10">
        <v>1</v>
      </c>
    </row>
    <row r="739" spans="1:3" x14ac:dyDescent="0.3">
      <c r="A739" s="2" t="s">
        <v>143</v>
      </c>
      <c r="B739" s="2" t="s">
        <v>245</v>
      </c>
      <c r="C739" s="10">
        <v>3</v>
      </c>
    </row>
    <row r="740" spans="1:3" x14ac:dyDescent="0.3">
      <c r="A740" s="2" t="s">
        <v>143</v>
      </c>
      <c r="B740" s="2" t="s">
        <v>246</v>
      </c>
      <c r="C740" s="10">
        <v>3</v>
      </c>
    </row>
    <row r="741" spans="1:3" x14ac:dyDescent="0.3">
      <c r="A741" s="2" t="s">
        <v>144</v>
      </c>
      <c r="B741" s="2" t="s">
        <v>244</v>
      </c>
      <c r="C741" s="10">
        <v>2</v>
      </c>
    </row>
    <row r="742" spans="1:3" x14ac:dyDescent="0.3">
      <c r="A742" s="2" t="s">
        <v>144</v>
      </c>
      <c r="B742" s="2" t="s">
        <v>247</v>
      </c>
      <c r="C742" s="10">
        <v>2</v>
      </c>
    </row>
    <row r="743" spans="1:3" x14ac:dyDescent="0.3">
      <c r="A743" s="2" t="s">
        <v>144</v>
      </c>
      <c r="B743" s="2" t="s">
        <v>248</v>
      </c>
      <c r="C743" s="10">
        <v>1</v>
      </c>
    </row>
    <row r="744" spans="1:3" x14ac:dyDescent="0.3">
      <c r="A744" s="2" t="s">
        <v>145</v>
      </c>
      <c r="B744" s="2" t="s">
        <v>245</v>
      </c>
      <c r="C744" s="10">
        <v>1</v>
      </c>
    </row>
    <row r="745" spans="1:3" x14ac:dyDescent="0.3">
      <c r="A745" s="2" t="s">
        <v>146</v>
      </c>
      <c r="B745" s="2" t="s">
        <v>245</v>
      </c>
      <c r="C745" s="10">
        <v>4</v>
      </c>
    </row>
    <row r="746" spans="1:3" x14ac:dyDescent="0.3">
      <c r="A746" s="2" t="s">
        <v>146</v>
      </c>
      <c r="B746" s="2" t="s">
        <v>247</v>
      </c>
      <c r="C746" s="10">
        <v>1</v>
      </c>
    </row>
    <row r="747" spans="1:3" x14ac:dyDescent="0.3">
      <c r="A747" s="2" t="s">
        <v>146</v>
      </c>
      <c r="B747" s="2" t="s">
        <v>248</v>
      </c>
      <c r="C747" s="10">
        <v>1</v>
      </c>
    </row>
    <row r="748" spans="1:3" x14ac:dyDescent="0.3">
      <c r="A748" s="2" t="s">
        <v>146</v>
      </c>
      <c r="B748" s="2" t="s">
        <v>246</v>
      </c>
      <c r="C748" s="10">
        <v>2</v>
      </c>
    </row>
    <row r="749" spans="1:3" x14ac:dyDescent="0.3">
      <c r="A749" s="2" t="s">
        <v>146</v>
      </c>
      <c r="B749" s="2" t="s">
        <v>244</v>
      </c>
      <c r="C749" s="10">
        <v>1</v>
      </c>
    </row>
    <row r="750" spans="1:3" x14ac:dyDescent="0.3">
      <c r="A750" s="2" t="s">
        <v>147</v>
      </c>
      <c r="B750" s="2" t="s">
        <v>254</v>
      </c>
      <c r="C750" s="10">
        <v>42</v>
      </c>
    </row>
    <row r="751" spans="1:3" x14ac:dyDescent="0.3">
      <c r="A751" s="2" t="s">
        <v>147</v>
      </c>
      <c r="B751" s="2" t="s">
        <v>247</v>
      </c>
      <c r="C751" s="10">
        <v>13</v>
      </c>
    </row>
    <row r="752" spans="1:3" x14ac:dyDescent="0.3">
      <c r="A752" s="2" t="s">
        <v>147</v>
      </c>
      <c r="B752" s="2" t="s">
        <v>245</v>
      </c>
      <c r="C752" s="10">
        <v>17</v>
      </c>
    </row>
    <row r="753" spans="1:3" x14ac:dyDescent="0.3">
      <c r="A753" s="2" t="s">
        <v>147</v>
      </c>
      <c r="B753" s="2" t="s">
        <v>244</v>
      </c>
      <c r="C753" s="10">
        <v>8</v>
      </c>
    </row>
    <row r="754" spans="1:3" x14ac:dyDescent="0.3">
      <c r="A754" s="2" t="s">
        <v>147</v>
      </c>
      <c r="B754" s="2" t="s">
        <v>253</v>
      </c>
      <c r="C754" s="10">
        <v>8</v>
      </c>
    </row>
    <row r="755" spans="1:3" x14ac:dyDescent="0.3">
      <c r="A755" s="2" t="s">
        <v>147</v>
      </c>
      <c r="B755" s="2" t="s">
        <v>246</v>
      </c>
      <c r="C755" s="10">
        <v>2</v>
      </c>
    </row>
    <row r="756" spans="1:3" x14ac:dyDescent="0.3">
      <c r="A756" s="2" t="s">
        <v>147</v>
      </c>
      <c r="B756" s="2" t="s">
        <v>243</v>
      </c>
      <c r="C756" s="10">
        <v>2</v>
      </c>
    </row>
    <row r="757" spans="1:3" x14ac:dyDescent="0.3">
      <c r="A757" s="2" t="s">
        <v>147</v>
      </c>
      <c r="B757" s="2" t="s">
        <v>248</v>
      </c>
      <c r="C757" s="10">
        <v>2</v>
      </c>
    </row>
    <row r="758" spans="1:3" x14ac:dyDescent="0.3">
      <c r="A758" s="2" t="s">
        <v>148</v>
      </c>
      <c r="B758" s="2" t="s">
        <v>243</v>
      </c>
      <c r="C758" s="10">
        <v>38</v>
      </c>
    </row>
    <row r="759" spans="1:3" x14ac:dyDescent="0.3">
      <c r="A759" s="2" t="s">
        <v>148</v>
      </c>
      <c r="B759" s="2" t="s">
        <v>245</v>
      </c>
      <c r="C759" s="10">
        <v>19</v>
      </c>
    </row>
    <row r="760" spans="1:3" x14ac:dyDescent="0.3">
      <c r="A760" s="2" t="s">
        <v>148</v>
      </c>
      <c r="B760" s="2" t="s">
        <v>244</v>
      </c>
      <c r="C760" s="10">
        <v>5</v>
      </c>
    </row>
    <row r="761" spans="1:3" x14ac:dyDescent="0.3">
      <c r="A761" s="2" t="s">
        <v>148</v>
      </c>
      <c r="B761" s="2" t="s">
        <v>247</v>
      </c>
      <c r="C761" s="10">
        <v>6</v>
      </c>
    </row>
    <row r="762" spans="1:3" x14ac:dyDescent="0.3">
      <c r="A762" s="2" t="s">
        <v>148</v>
      </c>
      <c r="B762" s="2" t="s">
        <v>254</v>
      </c>
      <c r="C762" s="10">
        <v>15</v>
      </c>
    </row>
    <row r="763" spans="1:3" x14ac:dyDescent="0.3">
      <c r="A763" s="2" t="s">
        <v>148</v>
      </c>
      <c r="B763" s="2" t="s">
        <v>242</v>
      </c>
      <c r="C763" s="10">
        <v>4</v>
      </c>
    </row>
    <row r="764" spans="1:3" x14ac:dyDescent="0.3">
      <c r="A764" s="2" t="s">
        <v>148</v>
      </c>
      <c r="B764" s="2" t="s">
        <v>246</v>
      </c>
      <c r="C764" s="10">
        <v>8</v>
      </c>
    </row>
    <row r="765" spans="1:3" x14ac:dyDescent="0.3">
      <c r="A765" s="2" t="s">
        <v>148</v>
      </c>
      <c r="B765" s="2" t="s">
        <v>248</v>
      </c>
      <c r="C765" s="10">
        <v>1</v>
      </c>
    </row>
    <row r="766" spans="1:3" x14ac:dyDescent="0.3">
      <c r="A766" s="2" t="s">
        <v>148</v>
      </c>
      <c r="B766" s="2" t="s">
        <v>253</v>
      </c>
      <c r="C766" s="10">
        <v>4</v>
      </c>
    </row>
    <row r="767" spans="1:3" x14ac:dyDescent="0.3">
      <c r="A767" s="2" t="s">
        <v>148</v>
      </c>
      <c r="B767" s="2" t="s">
        <v>250</v>
      </c>
      <c r="C767" s="10">
        <v>1</v>
      </c>
    </row>
    <row r="768" spans="1:3" x14ac:dyDescent="0.3">
      <c r="A768" s="2" t="s">
        <v>149</v>
      </c>
      <c r="B768" s="2" t="s">
        <v>246</v>
      </c>
      <c r="C768" s="10">
        <v>8</v>
      </c>
    </row>
    <row r="769" spans="1:3" x14ac:dyDescent="0.3">
      <c r="A769" s="2" t="s">
        <v>149</v>
      </c>
      <c r="B769" s="2" t="s">
        <v>244</v>
      </c>
      <c r="C769" s="10">
        <v>6</v>
      </c>
    </row>
    <row r="770" spans="1:3" x14ac:dyDescent="0.3">
      <c r="A770" s="2" t="s">
        <v>149</v>
      </c>
      <c r="B770" s="2" t="s">
        <v>242</v>
      </c>
      <c r="C770" s="10">
        <v>2</v>
      </c>
    </row>
    <row r="771" spans="1:3" x14ac:dyDescent="0.3">
      <c r="A771" s="2" t="s">
        <v>149</v>
      </c>
      <c r="B771" s="2" t="s">
        <v>245</v>
      </c>
      <c r="C771" s="10">
        <v>13</v>
      </c>
    </row>
    <row r="772" spans="1:3" x14ac:dyDescent="0.3">
      <c r="A772" s="2" t="s">
        <v>149</v>
      </c>
      <c r="B772" s="2" t="s">
        <v>249</v>
      </c>
      <c r="C772" s="10">
        <v>1</v>
      </c>
    </row>
    <row r="773" spans="1:3" x14ac:dyDescent="0.3">
      <c r="A773" s="2" t="s">
        <v>149</v>
      </c>
      <c r="B773" s="2" t="s">
        <v>247</v>
      </c>
      <c r="C773" s="10">
        <v>3</v>
      </c>
    </row>
    <row r="774" spans="1:3" x14ac:dyDescent="0.3">
      <c r="A774" s="2" t="s">
        <v>149</v>
      </c>
      <c r="B774" s="2" t="s">
        <v>248</v>
      </c>
      <c r="C774" s="10">
        <v>1</v>
      </c>
    </row>
    <row r="775" spans="1:3" x14ac:dyDescent="0.3">
      <c r="A775" s="2" t="s">
        <v>149</v>
      </c>
      <c r="B775" s="2" t="s">
        <v>243</v>
      </c>
      <c r="C775" s="10">
        <v>3</v>
      </c>
    </row>
    <row r="776" spans="1:3" x14ac:dyDescent="0.3">
      <c r="A776" s="2" t="s">
        <v>150</v>
      </c>
      <c r="B776" s="2" t="s">
        <v>247</v>
      </c>
      <c r="C776" s="10">
        <v>2</v>
      </c>
    </row>
    <row r="777" spans="1:3" x14ac:dyDescent="0.3">
      <c r="A777" s="2" t="s">
        <v>150</v>
      </c>
      <c r="B777" s="2" t="s">
        <v>243</v>
      </c>
      <c r="C777" s="10">
        <v>1</v>
      </c>
    </row>
    <row r="778" spans="1:3" x14ac:dyDescent="0.3">
      <c r="A778" s="2" t="s">
        <v>150</v>
      </c>
      <c r="B778" s="2" t="s">
        <v>242</v>
      </c>
      <c r="C778" s="10">
        <v>1</v>
      </c>
    </row>
    <row r="779" spans="1:3" x14ac:dyDescent="0.3">
      <c r="A779" s="2" t="s">
        <v>64</v>
      </c>
      <c r="B779" s="2" t="s">
        <v>247</v>
      </c>
      <c r="C779" s="10">
        <v>6</v>
      </c>
    </row>
    <row r="780" spans="1:3" x14ac:dyDescent="0.3">
      <c r="A780" s="2" t="s">
        <v>64</v>
      </c>
      <c r="B780" s="2" t="s">
        <v>250</v>
      </c>
      <c r="C780" s="10">
        <v>1</v>
      </c>
    </row>
    <row r="781" spans="1:3" x14ac:dyDescent="0.3">
      <c r="A781" s="2" t="s">
        <v>64</v>
      </c>
      <c r="B781" s="2" t="s">
        <v>249</v>
      </c>
      <c r="C781" s="10">
        <v>2</v>
      </c>
    </row>
    <row r="782" spans="1:3" x14ac:dyDescent="0.3">
      <c r="A782" s="2" t="s">
        <v>64</v>
      </c>
      <c r="B782" s="2" t="s">
        <v>245</v>
      </c>
      <c r="C782" s="10">
        <v>7</v>
      </c>
    </row>
    <row r="783" spans="1:3" x14ac:dyDescent="0.3">
      <c r="A783" s="2" t="s">
        <v>64</v>
      </c>
      <c r="B783" s="2" t="s">
        <v>242</v>
      </c>
      <c r="C783" s="10">
        <v>5</v>
      </c>
    </row>
    <row r="784" spans="1:3" x14ac:dyDescent="0.3">
      <c r="A784" s="2" t="s">
        <v>64</v>
      </c>
      <c r="B784" s="2" t="s">
        <v>244</v>
      </c>
      <c r="C784" s="10">
        <v>2</v>
      </c>
    </row>
    <row r="785" spans="1:3" x14ac:dyDescent="0.3">
      <c r="A785" s="2" t="s">
        <v>64</v>
      </c>
      <c r="B785" s="2" t="s">
        <v>246</v>
      </c>
      <c r="C785" s="10">
        <v>10</v>
      </c>
    </row>
    <row r="786" spans="1:3" x14ac:dyDescent="0.3">
      <c r="A786" s="2" t="s">
        <v>64</v>
      </c>
      <c r="B786" s="2" t="s">
        <v>248</v>
      </c>
      <c r="C786" s="10">
        <v>1</v>
      </c>
    </row>
    <row r="787" spans="1:3" x14ac:dyDescent="0.3">
      <c r="A787" s="2" t="s">
        <v>151</v>
      </c>
      <c r="B787" s="2" t="s">
        <v>247</v>
      </c>
      <c r="C787" s="10">
        <v>9</v>
      </c>
    </row>
    <row r="788" spans="1:3" x14ac:dyDescent="0.3">
      <c r="A788" s="2" t="s">
        <v>151</v>
      </c>
      <c r="B788" s="2" t="s">
        <v>245</v>
      </c>
      <c r="C788" s="10">
        <v>16</v>
      </c>
    </row>
    <row r="789" spans="1:3" x14ac:dyDescent="0.3">
      <c r="A789" s="2" t="s">
        <v>151</v>
      </c>
      <c r="B789" s="2" t="s">
        <v>243</v>
      </c>
      <c r="C789" s="10">
        <v>8</v>
      </c>
    </row>
    <row r="790" spans="1:3" x14ac:dyDescent="0.3">
      <c r="A790" s="2" t="s">
        <v>151</v>
      </c>
      <c r="B790" s="2" t="s">
        <v>242</v>
      </c>
      <c r="C790" s="10">
        <v>6</v>
      </c>
    </row>
    <row r="791" spans="1:3" x14ac:dyDescent="0.3">
      <c r="A791" s="2" t="s">
        <v>151</v>
      </c>
      <c r="B791" s="2" t="s">
        <v>253</v>
      </c>
      <c r="C791" s="10">
        <v>1</v>
      </c>
    </row>
    <row r="792" spans="1:3" x14ac:dyDescent="0.3">
      <c r="A792" s="2" t="s">
        <v>151</v>
      </c>
      <c r="B792" s="2" t="s">
        <v>246</v>
      </c>
      <c r="C792" s="10">
        <v>8</v>
      </c>
    </row>
    <row r="793" spans="1:3" x14ac:dyDescent="0.3">
      <c r="A793" s="2" t="s">
        <v>151</v>
      </c>
      <c r="B793" s="2" t="s">
        <v>248</v>
      </c>
      <c r="C793" s="10">
        <v>1</v>
      </c>
    </row>
    <row r="794" spans="1:3" x14ac:dyDescent="0.3">
      <c r="A794" s="2" t="s">
        <v>151</v>
      </c>
      <c r="B794" s="2" t="s">
        <v>244</v>
      </c>
      <c r="C794" s="10">
        <v>5</v>
      </c>
    </row>
    <row r="795" spans="1:3" x14ac:dyDescent="0.3">
      <c r="A795" s="2" t="s">
        <v>151</v>
      </c>
      <c r="B795" s="2" t="s">
        <v>250</v>
      </c>
      <c r="C795" s="10">
        <v>2</v>
      </c>
    </row>
    <row r="796" spans="1:3" x14ac:dyDescent="0.3">
      <c r="A796" s="2" t="s">
        <v>152</v>
      </c>
      <c r="B796" s="2" t="s">
        <v>245</v>
      </c>
      <c r="C796" s="10">
        <v>1</v>
      </c>
    </row>
    <row r="797" spans="1:3" x14ac:dyDescent="0.3">
      <c r="A797" s="2" t="s">
        <v>152</v>
      </c>
      <c r="B797" s="2" t="s">
        <v>246</v>
      </c>
      <c r="C797" s="10">
        <v>1</v>
      </c>
    </row>
    <row r="798" spans="1:3" x14ac:dyDescent="0.3">
      <c r="A798" s="2" t="s">
        <v>152</v>
      </c>
      <c r="B798" s="2" t="s">
        <v>243</v>
      </c>
      <c r="C798" s="10">
        <v>2</v>
      </c>
    </row>
    <row r="799" spans="1:3" x14ac:dyDescent="0.3">
      <c r="A799" s="2" t="s">
        <v>152</v>
      </c>
      <c r="B799" s="2" t="s">
        <v>242</v>
      </c>
      <c r="C799" s="10">
        <v>1</v>
      </c>
    </row>
    <row r="800" spans="1:3" x14ac:dyDescent="0.3">
      <c r="A800" s="2" t="s">
        <v>153</v>
      </c>
      <c r="B800" s="2" t="s">
        <v>247</v>
      </c>
      <c r="C800" s="10">
        <v>7</v>
      </c>
    </row>
    <row r="801" spans="1:3" x14ac:dyDescent="0.3">
      <c r="A801" s="2" t="s">
        <v>153</v>
      </c>
      <c r="B801" s="2" t="s">
        <v>243</v>
      </c>
      <c r="C801" s="10">
        <v>7</v>
      </c>
    </row>
    <row r="802" spans="1:3" x14ac:dyDescent="0.3">
      <c r="A802" s="2" t="s">
        <v>153</v>
      </c>
      <c r="B802" s="2" t="s">
        <v>246</v>
      </c>
      <c r="C802" s="10">
        <v>6</v>
      </c>
    </row>
    <row r="803" spans="1:3" x14ac:dyDescent="0.3">
      <c r="A803" s="2" t="s">
        <v>153</v>
      </c>
      <c r="B803" s="2" t="s">
        <v>245</v>
      </c>
      <c r="C803" s="10">
        <v>6</v>
      </c>
    </row>
    <row r="804" spans="1:3" x14ac:dyDescent="0.3">
      <c r="A804" s="2" t="s">
        <v>153</v>
      </c>
      <c r="B804" s="2" t="s">
        <v>248</v>
      </c>
      <c r="C804" s="10">
        <v>1</v>
      </c>
    </row>
    <row r="805" spans="1:3" x14ac:dyDescent="0.3">
      <c r="A805" s="2" t="s">
        <v>153</v>
      </c>
      <c r="B805" s="2" t="s">
        <v>242</v>
      </c>
      <c r="C805" s="10">
        <v>2</v>
      </c>
    </row>
    <row r="806" spans="1:3" x14ac:dyDescent="0.3">
      <c r="A806" s="2" t="s">
        <v>153</v>
      </c>
      <c r="B806" s="2" t="s">
        <v>253</v>
      </c>
      <c r="C806" s="10">
        <v>1</v>
      </c>
    </row>
    <row r="807" spans="1:3" x14ac:dyDescent="0.3">
      <c r="A807" s="2" t="s">
        <v>153</v>
      </c>
      <c r="B807" s="2" t="s">
        <v>244</v>
      </c>
      <c r="C807" s="10">
        <v>10</v>
      </c>
    </row>
    <row r="808" spans="1:3" x14ac:dyDescent="0.3">
      <c r="A808" s="2" t="s">
        <v>154</v>
      </c>
      <c r="B808" s="2" t="s">
        <v>247</v>
      </c>
      <c r="C808" s="10">
        <v>1</v>
      </c>
    </row>
    <row r="809" spans="1:3" x14ac:dyDescent="0.3">
      <c r="A809" s="2" t="s">
        <v>154</v>
      </c>
      <c r="B809" s="2" t="s">
        <v>244</v>
      </c>
      <c r="C809" s="10">
        <v>2</v>
      </c>
    </row>
    <row r="810" spans="1:3" x14ac:dyDescent="0.3">
      <c r="A810" s="2" t="s">
        <v>154</v>
      </c>
      <c r="B810" s="2" t="s">
        <v>245</v>
      </c>
      <c r="C810" s="10">
        <v>1</v>
      </c>
    </row>
    <row r="811" spans="1:3" x14ac:dyDescent="0.3">
      <c r="A811" s="2" t="s">
        <v>154</v>
      </c>
      <c r="B811" s="2" t="s">
        <v>246</v>
      </c>
      <c r="C811" s="10">
        <v>1</v>
      </c>
    </row>
    <row r="812" spans="1:3" x14ac:dyDescent="0.3">
      <c r="A812" s="2" t="s">
        <v>155</v>
      </c>
      <c r="B812" s="2" t="s">
        <v>246</v>
      </c>
      <c r="C812" s="10">
        <v>4</v>
      </c>
    </row>
    <row r="813" spans="1:3" x14ac:dyDescent="0.3">
      <c r="A813" s="2" t="s">
        <v>155</v>
      </c>
      <c r="B813" s="2" t="s">
        <v>245</v>
      </c>
      <c r="C813" s="10">
        <v>2</v>
      </c>
    </row>
    <row r="814" spans="1:3" x14ac:dyDescent="0.3">
      <c r="A814" s="2" t="s">
        <v>155</v>
      </c>
      <c r="B814" s="2" t="s">
        <v>242</v>
      </c>
      <c r="C814" s="10">
        <v>1</v>
      </c>
    </row>
    <row r="815" spans="1:3" x14ac:dyDescent="0.3">
      <c r="A815" s="2" t="s">
        <v>155</v>
      </c>
      <c r="B815" s="2" t="s">
        <v>244</v>
      </c>
      <c r="C815" s="10">
        <v>2</v>
      </c>
    </row>
    <row r="816" spans="1:3" x14ac:dyDescent="0.3">
      <c r="A816" s="2" t="s">
        <v>155</v>
      </c>
      <c r="B816" s="2" t="s">
        <v>243</v>
      </c>
      <c r="C816" s="10">
        <v>1</v>
      </c>
    </row>
    <row r="817" spans="1:3" x14ac:dyDescent="0.3">
      <c r="A817" s="2" t="s">
        <v>156</v>
      </c>
      <c r="B817" s="2" t="s">
        <v>245</v>
      </c>
      <c r="C817" s="10">
        <v>4</v>
      </c>
    </row>
    <row r="818" spans="1:3" x14ac:dyDescent="0.3">
      <c r="A818" s="2" t="s">
        <v>157</v>
      </c>
      <c r="B818" s="2" t="s">
        <v>244</v>
      </c>
      <c r="C818" s="10">
        <v>6</v>
      </c>
    </row>
    <row r="819" spans="1:3" x14ac:dyDescent="0.3">
      <c r="A819" s="2" t="s">
        <v>157</v>
      </c>
      <c r="B819" s="2" t="s">
        <v>246</v>
      </c>
      <c r="C819" s="10">
        <v>9</v>
      </c>
    </row>
    <row r="820" spans="1:3" x14ac:dyDescent="0.3">
      <c r="A820" s="2" t="s">
        <v>157</v>
      </c>
      <c r="B820" s="2" t="s">
        <v>245</v>
      </c>
      <c r="C820" s="10">
        <v>16</v>
      </c>
    </row>
    <row r="821" spans="1:3" x14ac:dyDescent="0.3">
      <c r="A821" s="2" t="s">
        <v>157</v>
      </c>
      <c r="B821" s="2" t="s">
        <v>248</v>
      </c>
      <c r="C821" s="10">
        <v>1</v>
      </c>
    </row>
    <row r="822" spans="1:3" x14ac:dyDescent="0.3">
      <c r="A822" s="2" t="s">
        <v>157</v>
      </c>
      <c r="B822" s="2" t="s">
        <v>243</v>
      </c>
      <c r="C822" s="10">
        <v>1</v>
      </c>
    </row>
    <row r="823" spans="1:3" x14ac:dyDescent="0.3">
      <c r="A823" s="2" t="s">
        <v>157</v>
      </c>
      <c r="B823" s="2" t="s">
        <v>247</v>
      </c>
      <c r="C823" s="10">
        <v>3</v>
      </c>
    </row>
    <row r="824" spans="1:3" x14ac:dyDescent="0.3">
      <c r="A824" s="2" t="s">
        <v>157</v>
      </c>
      <c r="B824" s="2" t="s">
        <v>242</v>
      </c>
      <c r="C824" s="10">
        <v>1</v>
      </c>
    </row>
    <row r="825" spans="1:3" x14ac:dyDescent="0.3">
      <c r="A825" s="2" t="s">
        <v>158</v>
      </c>
      <c r="B825" s="2" t="s">
        <v>246</v>
      </c>
      <c r="C825" s="10">
        <v>19</v>
      </c>
    </row>
    <row r="826" spans="1:3" x14ac:dyDescent="0.3">
      <c r="A826" s="2" t="s">
        <v>158</v>
      </c>
      <c r="B826" s="2" t="s">
        <v>245</v>
      </c>
      <c r="C826" s="10">
        <v>9</v>
      </c>
    </row>
    <row r="827" spans="1:3" x14ac:dyDescent="0.3">
      <c r="A827" s="2" t="s">
        <v>158</v>
      </c>
      <c r="B827" s="2" t="s">
        <v>242</v>
      </c>
      <c r="C827" s="10">
        <v>4</v>
      </c>
    </row>
    <row r="828" spans="1:3" x14ac:dyDescent="0.3">
      <c r="A828" s="2" t="s">
        <v>158</v>
      </c>
      <c r="B828" s="2" t="s">
        <v>244</v>
      </c>
      <c r="C828" s="10">
        <v>2</v>
      </c>
    </row>
    <row r="829" spans="1:3" x14ac:dyDescent="0.3">
      <c r="A829" s="2" t="s">
        <v>158</v>
      </c>
      <c r="B829" s="2" t="s">
        <v>247</v>
      </c>
      <c r="C829" s="10">
        <v>2</v>
      </c>
    </row>
    <row r="830" spans="1:3" x14ac:dyDescent="0.3">
      <c r="A830" s="2" t="s">
        <v>158</v>
      </c>
      <c r="B830" s="2" t="s">
        <v>243</v>
      </c>
      <c r="C830" s="10">
        <v>4</v>
      </c>
    </row>
    <row r="831" spans="1:3" x14ac:dyDescent="0.3">
      <c r="A831" s="2" t="s">
        <v>158</v>
      </c>
      <c r="B831" s="2" t="s">
        <v>249</v>
      </c>
      <c r="C831" s="10">
        <v>1</v>
      </c>
    </row>
    <row r="832" spans="1:3" x14ac:dyDescent="0.3">
      <c r="A832" s="2" t="s">
        <v>158</v>
      </c>
      <c r="B832" s="2" t="s">
        <v>248</v>
      </c>
      <c r="C832" s="10">
        <v>1</v>
      </c>
    </row>
    <row r="833" spans="1:3" x14ac:dyDescent="0.3">
      <c r="A833" s="2" t="s">
        <v>159</v>
      </c>
      <c r="B833" s="2" t="s">
        <v>249</v>
      </c>
      <c r="C833" s="10">
        <v>1</v>
      </c>
    </row>
    <row r="834" spans="1:3" x14ac:dyDescent="0.3">
      <c r="A834" s="2" t="s">
        <v>159</v>
      </c>
      <c r="B834" s="2" t="s">
        <v>243</v>
      </c>
      <c r="C834" s="10">
        <v>1</v>
      </c>
    </row>
    <row r="835" spans="1:3" x14ac:dyDescent="0.3">
      <c r="A835" s="2" t="s">
        <v>159</v>
      </c>
      <c r="B835" s="2" t="s">
        <v>244</v>
      </c>
      <c r="C835" s="10">
        <v>1</v>
      </c>
    </row>
    <row r="836" spans="1:3" x14ac:dyDescent="0.3">
      <c r="A836" s="2" t="s">
        <v>159</v>
      </c>
      <c r="B836" s="2" t="s">
        <v>247</v>
      </c>
      <c r="C836" s="10">
        <v>1</v>
      </c>
    </row>
    <row r="837" spans="1:3" x14ac:dyDescent="0.3">
      <c r="A837" s="2" t="s">
        <v>159</v>
      </c>
      <c r="B837" s="2" t="s">
        <v>245</v>
      </c>
      <c r="C837" s="10">
        <v>1</v>
      </c>
    </row>
    <row r="838" spans="1:3" x14ac:dyDescent="0.3">
      <c r="A838" s="2" t="s">
        <v>160</v>
      </c>
      <c r="B838" s="2" t="s">
        <v>245</v>
      </c>
      <c r="C838" s="10">
        <v>7</v>
      </c>
    </row>
    <row r="839" spans="1:3" x14ac:dyDescent="0.3">
      <c r="A839" s="2" t="s">
        <v>160</v>
      </c>
      <c r="B839" s="2" t="s">
        <v>251</v>
      </c>
      <c r="C839" s="10">
        <v>2</v>
      </c>
    </row>
    <row r="840" spans="1:3" x14ac:dyDescent="0.3">
      <c r="A840" s="2" t="s">
        <v>160</v>
      </c>
      <c r="B840" s="2" t="s">
        <v>244</v>
      </c>
      <c r="C840" s="10">
        <v>4</v>
      </c>
    </row>
    <row r="841" spans="1:3" x14ac:dyDescent="0.3">
      <c r="A841" s="2" t="s">
        <v>160</v>
      </c>
      <c r="B841" s="2" t="s">
        <v>250</v>
      </c>
      <c r="C841" s="10">
        <v>2</v>
      </c>
    </row>
    <row r="842" spans="1:3" x14ac:dyDescent="0.3">
      <c r="A842" s="2" t="s">
        <v>160</v>
      </c>
      <c r="B842" s="2" t="s">
        <v>249</v>
      </c>
      <c r="C842" s="10">
        <v>1</v>
      </c>
    </row>
    <row r="843" spans="1:3" x14ac:dyDescent="0.3">
      <c r="A843" s="2" t="s">
        <v>160</v>
      </c>
      <c r="B843" s="2" t="s">
        <v>253</v>
      </c>
      <c r="C843" s="10">
        <v>1</v>
      </c>
    </row>
    <row r="844" spans="1:3" x14ac:dyDescent="0.3">
      <c r="A844" s="2" t="s">
        <v>160</v>
      </c>
      <c r="B844" s="2" t="s">
        <v>247</v>
      </c>
      <c r="C844" s="10">
        <v>1</v>
      </c>
    </row>
    <row r="845" spans="1:3" x14ac:dyDescent="0.3">
      <c r="A845" s="2" t="s">
        <v>160</v>
      </c>
      <c r="B845" s="2" t="s">
        <v>243</v>
      </c>
      <c r="C845" s="10">
        <v>1</v>
      </c>
    </row>
    <row r="846" spans="1:3" x14ac:dyDescent="0.3">
      <c r="A846" s="2" t="s">
        <v>161</v>
      </c>
      <c r="B846" s="2" t="s">
        <v>248</v>
      </c>
      <c r="C846" s="10">
        <v>1</v>
      </c>
    </row>
    <row r="847" spans="1:3" x14ac:dyDescent="0.3">
      <c r="A847" s="2" t="s">
        <v>161</v>
      </c>
      <c r="B847" s="2" t="s">
        <v>250</v>
      </c>
      <c r="C847" s="10">
        <v>2</v>
      </c>
    </row>
    <row r="848" spans="1:3" x14ac:dyDescent="0.3">
      <c r="A848" s="2" t="s">
        <v>161</v>
      </c>
      <c r="B848" s="2" t="s">
        <v>245</v>
      </c>
      <c r="C848" s="10">
        <v>10</v>
      </c>
    </row>
    <row r="849" spans="1:3" x14ac:dyDescent="0.3">
      <c r="A849" s="2" t="s">
        <v>161</v>
      </c>
      <c r="B849" s="2" t="s">
        <v>247</v>
      </c>
      <c r="C849" s="10">
        <v>3</v>
      </c>
    </row>
    <row r="850" spans="1:3" x14ac:dyDescent="0.3">
      <c r="A850" s="2" t="s">
        <v>161</v>
      </c>
      <c r="B850" s="2" t="s">
        <v>244</v>
      </c>
      <c r="C850" s="10">
        <v>1</v>
      </c>
    </row>
    <row r="851" spans="1:3" x14ac:dyDescent="0.3">
      <c r="A851" s="2" t="s">
        <v>161</v>
      </c>
      <c r="B851" s="2" t="s">
        <v>251</v>
      </c>
      <c r="C851" s="10">
        <v>1</v>
      </c>
    </row>
    <row r="852" spans="1:3" x14ac:dyDescent="0.3">
      <c r="A852" s="2" t="s">
        <v>161</v>
      </c>
      <c r="B852" s="2" t="s">
        <v>243</v>
      </c>
      <c r="C852" s="10">
        <v>1</v>
      </c>
    </row>
    <row r="853" spans="1:3" x14ac:dyDescent="0.3">
      <c r="A853" s="2" t="s">
        <v>161</v>
      </c>
      <c r="B853" s="2" t="s">
        <v>246</v>
      </c>
      <c r="C853" s="10">
        <v>1</v>
      </c>
    </row>
    <row r="854" spans="1:3" x14ac:dyDescent="0.3">
      <c r="A854" s="2" t="s">
        <v>162</v>
      </c>
      <c r="B854" s="2" t="s">
        <v>245</v>
      </c>
      <c r="C854" s="10">
        <v>14</v>
      </c>
    </row>
    <row r="855" spans="1:3" x14ac:dyDescent="0.3">
      <c r="A855" s="2" t="s">
        <v>162</v>
      </c>
      <c r="B855" s="2" t="s">
        <v>246</v>
      </c>
      <c r="C855" s="10">
        <v>4</v>
      </c>
    </row>
    <row r="856" spans="1:3" x14ac:dyDescent="0.3">
      <c r="A856" s="2" t="s">
        <v>162</v>
      </c>
      <c r="B856" s="2" t="s">
        <v>242</v>
      </c>
      <c r="C856" s="10">
        <v>1</v>
      </c>
    </row>
    <row r="857" spans="1:3" x14ac:dyDescent="0.3">
      <c r="A857" s="2" t="s">
        <v>162</v>
      </c>
      <c r="B857" s="2" t="s">
        <v>244</v>
      </c>
      <c r="C857" s="10">
        <v>5</v>
      </c>
    </row>
    <row r="858" spans="1:3" x14ac:dyDescent="0.3">
      <c r="A858" s="2" t="s">
        <v>162</v>
      </c>
      <c r="B858" s="2" t="s">
        <v>249</v>
      </c>
      <c r="C858" s="10">
        <v>1</v>
      </c>
    </row>
    <row r="859" spans="1:3" x14ac:dyDescent="0.3">
      <c r="A859" s="2" t="s">
        <v>162</v>
      </c>
      <c r="B859" s="2" t="s">
        <v>247</v>
      </c>
      <c r="C859" s="10">
        <v>1</v>
      </c>
    </row>
    <row r="860" spans="1:3" x14ac:dyDescent="0.3">
      <c r="A860" s="2" t="s">
        <v>163</v>
      </c>
      <c r="B860" s="2" t="s">
        <v>245</v>
      </c>
      <c r="C860" s="10">
        <v>14</v>
      </c>
    </row>
    <row r="861" spans="1:3" x14ac:dyDescent="0.3">
      <c r="A861" s="2" t="s">
        <v>163</v>
      </c>
      <c r="B861" s="2" t="s">
        <v>246</v>
      </c>
      <c r="C861" s="10">
        <v>1</v>
      </c>
    </row>
    <row r="862" spans="1:3" x14ac:dyDescent="0.3">
      <c r="A862" s="2" t="s">
        <v>163</v>
      </c>
      <c r="B862" s="2" t="s">
        <v>242</v>
      </c>
      <c r="C862" s="10">
        <v>1</v>
      </c>
    </row>
    <row r="863" spans="1:3" x14ac:dyDescent="0.3">
      <c r="A863" s="2" t="s">
        <v>163</v>
      </c>
      <c r="B863" s="2" t="s">
        <v>244</v>
      </c>
      <c r="C863" s="10">
        <v>3</v>
      </c>
    </row>
    <row r="864" spans="1:3" x14ac:dyDescent="0.3">
      <c r="A864" s="2" t="s">
        <v>164</v>
      </c>
      <c r="B864" s="2" t="s">
        <v>245</v>
      </c>
      <c r="C864" s="10">
        <v>1</v>
      </c>
    </row>
    <row r="865" spans="1:3" x14ac:dyDescent="0.3">
      <c r="A865" s="2" t="s">
        <v>164</v>
      </c>
      <c r="B865" s="2" t="s">
        <v>246</v>
      </c>
      <c r="C865" s="10">
        <v>3</v>
      </c>
    </row>
    <row r="866" spans="1:3" x14ac:dyDescent="0.3">
      <c r="A866" s="2" t="s">
        <v>165</v>
      </c>
      <c r="B866" s="2" t="s">
        <v>242</v>
      </c>
      <c r="C866" s="10">
        <v>1</v>
      </c>
    </row>
    <row r="867" spans="1:3" x14ac:dyDescent="0.3">
      <c r="A867" s="2" t="s">
        <v>165</v>
      </c>
      <c r="B867" s="2" t="s">
        <v>245</v>
      </c>
      <c r="C867" s="10">
        <v>16</v>
      </c>
    </row>
    <row r="868" spans="1:3" x14ac:dyDescent="0.3">
      <c r="A868" s="2" t="s">
        <v>165</v>
      </c>
      <c r="B868" s="2" t="s">
        <v>251</v>
      </c>
      <c r="C868" s="10">
        <v>2</v>
      </c>
    </row>
    <row r="869" spans="1:3" x14ac:dyDescent="0.3">
      <c r="A869" s="2" t="s">
        <v>165</v>
      </c>
      <c r="B869" s="2" t="s">
        <v>244</v>
      </c>
      <c r="C869" s="10">
        <v>3</v>
      </c>
    </row>
    <row r="870" spans="1:3" x14ac:dyDescent="0.3">
      <c r="A870" s="2" t="s">
        <v>166</v>
      </c>
      <c r="B870" s="2" t="s">
        <v>249</v>
      </c>
      <c r="C870" s="10">
        <v>2</v>
      </c>
    </row>
    <row r="871" spans="1:3" x14ac:dyDescent="0.3">
      <c r="A871" s="2" t="s">
        <v>166</v>
      </c>
      <c r="B871" s="2" t="s">
        <v>250</v>
      </c>
      <c r="C871" s="10">
        <v>6</v>
      </c>
    </row>
    <row r="872" spans="1:3" x14ac:dyDescent="0.3">
      <c r="A872" s="2" t="s">
        <v>166</v>
      </c>
      <c r="B872" s="2" t="s">
        <v>245</v>
      </c>
      <c r="C872" s="10">
        <v>110</v>
      </c>
    </row>
    <row r="873" spans="1:3" x14ac:dyDescent="0.3">
      <c r="A873" s="2" t="s">
        <v>166</v>
      </c>
      <c r="B873" s="2" t="s">
        <v>246</v>
      </c>
      <c r="C873" s="10">
        <v>5</v>
      </c>
    </row>
    <row r="874" spans="1:3" x14ac:dyDescent="0.3">
      <c r="A874" s="2" t="s">
        <v>166</v>
      </c>
      <c r="B874" s="2" t="s">
        <v>244</v>
      </c>
      <c r="C874" s="10">
        <v>9</v>
      </c>
    </row>
    <row r="875" spans="1:3" x14ac:dyDescent="0.3">
      <c r="A875" s="2" t="s">
        <v>166</v>
      </c>
      <c r="B875" s="2" t="s">
        <v>242</v>
      </c>
      <c r="C875" s="10">
        <v>4</v>
      </c>
    </row>
    <row r="876" spans="1:3" x14ac:dyDescent="0.3">
      <c r="A876" s="2" t="s">
        <v>166</v>
      </c>
      <c r="B876" s="2" t="s">
        <v>247</v>
      </c>
      <c r="C876" s="10">
        <v>9</v>
      </c>
    </row>
    <row r="877" spans="1:3" x14ac:dyDescent="0.3">
      <c r="A877" s="2" t="s">
        <v>166</v>
      </c>
      <c r="B877" s="2" t="s">
        <v>251</v>
      </c>
      <c r="C877" s="10">
        <v>1</v>
      </c>
    </row>
    <row r="878" spans="1:3" x14ac:dyDescent="0.3">
      <c r="A878" s="2" t="s">
        <v>166</v>
      </c>
      <c r="B878" s="2" t="s">
        <v>252</v>
      </c>
      <c r="C878" s="10">
        <v>1</v>
      </c>
    </row>
    <row r="879" spans="1:3" x14ac:dyDescent="0.3">
      <c r="A879" s="2" t="s">
        <v>166</v>
      </c>
      <c r="B879" s="2" t="s">
        <v>243</v>
      </c>
      <c r="C879" s="10">
        <v>14</v>
      </c>
    </row>
    <row r="880" spans="1:3" x14ac:dyDescent="0.3">
      <c r="A880" s="2" t="s">
        <v>167</v>
      </c>
      <c r="B880" s="2" t="s">
        <v>246</v>
      </c>
      <c r="C880" s="10">
        <v>5</v>
      </c>
    </row>
    <row r="881" spans="1:3" x14ac:dyDescent="0.3">
      <c r="A881" s="2" t="s">
        <v>167</v>
      </c>
      <c r="B881" s="2" t="s">
        <v>247</v>
      </c>
      <c r="C881" s="10">
        <v>3</v>
      </c>
    </row>
    <row r="882" spans="1:3" x14ac:dyDescent="0.3">
      <c r="A882" s="2" t="s">
        <v>167</v>
      </c>
      <c r="B882" s="2" t="s">
        <v>245</v>
      </c>
      <c r="C882" s="10">
        <v>1</v>
      </c>
    </row>
    <row r="883" spans="1:3" x14ac:dyDescent="0.3">
      <c r="A883" s="2" t="s">
        <v>167</v>
      </c>
      <c r="B883" s="2" t="s">
        <v>248</v>
      </c>
      <c r="C883" s="10">
        <v>1</v>
      </c>
    </row>
    <row r="884" spans="1:3" x14ac:dyDescent="0.3">
      <c r="A884" s="2" t="s">
        <v>168</v>
      </c>
      <c r="B884" s="2" t="s">
        <v>245</v>
      </c>
      <c r="C884" s="10">
        <v>6</v>
      </c>
    </row>
    <row r="885" spans="1:3" x14ac:dyDescent="0.3">
      <c r="A885" s="2" t="s">
        <v>168</v>
      </c>
      <c r="B885" s="2" t="s">
        <v>242</v>
      </c>
      <c r="C885" s="10">
        <v>1</v>
      </c>
    </row>
    <row r="886" spans="1:3" x14ac:dyDescent="0.3">
      <c r="A886" s="2" t="s">
        <v>169</v>
      </c>
      <c r="B886" s="2" t="s">
        <v>245</v>
      </c>
      <c r="C886" s="10">
        <v>5</v>
      </c>
    </row>
    <row r="887" spans="1:3" x14ac:dyDescent="0.3">
      <c r="A887" s="2" t="s">
        <v>169</v>
      </c>
      <c r="B887" s="2" t="s">
        <v>246</v>
      </c>
      <c r="C887" s="10">
        <v>6</v>
      </c>
    </row>
    <row r="888" spans="1:3" x14ac:dyDescent="0.3">
      <c r="A888" s="2" t="s">
        <v>169</v>
      </c>
      <c r="B888" s="2" t="s">
        <v>248</v>
      </c>
      <c r="C888" s="10">
        <v>1</v>
      </c>
    </row>
    <row r="889" spans="1:3" x14ac:dyDescent="0.3">
      <c r="A889" s="2" t="s">
        <v>169</v>
      </c>
      <c r="B889" s="2" t="s">
        <v>244</v>
      </c>
      <c r="C889" s="10">
        <v>2</v>
      </c>
    </row>
    <row r="890" spans="1:3" x14ac:dyDescent="0.3">
      <c r="A890" s="2" t="s">
        <v>170</v>
      </c>
      <c r="B890" s="2" t="s">
        <v>246</v>
      </c>
      <c r="C890" s="10">
        <v>4</v>
      </c>
    </row>
    <row r="891" spans="1:3" x14ac:dyDescent="0.3">
      <c r="A891" s="2" t="s">
        <v>170</v>
      </c>
      <c r="B891" s="2" t="s">
        <v>245</v>
      </c>
      <c r="C891" s="10">
        <v>4</v>
      </c>
    </row>
    <row r="892" spans="1:3" x14ac:dyDescent="0.3">
      <c r="A892" s="2" t="s">
        <v>171</v>
      </c>
      <c r="B892" s="2" t="s">
        <v>245</v>
      </c>
      <c r="C892" s="10">
        <v>2</v>
      </c>
    </row>
    <row r="893" spans="1:3" x14ac:dyDescent="0.3">
      <c r="A893" s="2" t="s">
        <v>171</v>
      </c>
      <c r="B893" s="2" t="s">
        <v>244</v>
      </c>
      <c r="C893" s="10">
        <v>2</v>
      </c>
    </row>
    <row r="894" spans="1:3" x14ac:dyDescent="0.3">
      <c r="A894" s="2" t="s">
        <v>171</v>
      </c>
      <c r="B894" s="2" t="s">
        <v>246</v>
      </c>
      <c r="C894" s="10">
        <v>1</v>
      </c>
    </row>
    <row r="895" spans="1:3" x14ac:dyDescent="0.3">
      <c r="A895" s="2" t="s">
        <v>172</v>
      </c>
      <c r="B895" s="2" t="s">
        <v>246</v>
      </c>
      <c r="C895" s="10">
        <v>2</v>
      </c>
    </row>
    <row r="896" spans="1:3" x14ac:dyDescent="0.3">
      <c r="A896" s="2" t="s">
        <v>172</v>
      </c>
      <c r="B896" s="2" t="s">
        <v>243</v>
      </c>
      <c r="C896" s="10">
        <v>1</v>
      </c>
    </row>
    <row r="897" spans="1:3" x14ac:dyDescent="0.3">
      <c r="A897" s="2" t="s">
        <v>172</v>
      </c>
      <c r="B897" s="2" t="s">
        <v>244</v>
      </c>
      <c r="C897" s="10">
        <v>4</v>
      </c>
    </row>
    <row r="898" spans="1:3" x14ac:dyDescent="0.3">
      <c r="A898" s="2" t="s">
        <v>172</v>
      </c>
      <c r="B898" s="2" t="s">
        <v>245</v>
      </c>
      <c r="C898" s="10">
        <v>1</v>
      </c>
    </row>
    <row r="899" spans="1:3" x14ac:dyDescent="0.3">
      <c r="A899" s="2" t="s">
        <v>172</v>
      </c>
      <c r="B899" s="2" t="s">
        <v>247</v>
      </c>
      <c r="C899" s="10">
        <v>2</v>
      </c>
    </row>
    <row r="900" spans="1:3" x14ac:dyDescent="0.3">
      <c r="A900" s="2" t="s">
        <v>172</v>
      </c>
      <c r="B900" s="2" t="s">
        <v>242</v>
      </c>
      <c r="C900" s="10">
        <v>1</v>
      </c>
    </row>
    <row r="901" spans="1:3" x14ac:dyDescent="0.3">
      <c r="A901" s="2" t="s">
        <v>173</v>
      </c>
      <c r="B901" s="2" t="s">
        <v>243</v>
      </c>
      <c r="C901" s="10">
        <v>3</v>
      </c>
    </row>
    <row r="902" spans="1:3" x14ac:dyDescent="0.3">
      <c r="A902" s="2" t="s">
        <v>173</v>
      </c>
      <c r="B902" s="2" t="s">
        <v>245</v>
      </c>
      <c r="C902" s="10">
        <v>7</v>
      </c>
    </row>
    <row r="903" spans="1:3" x14ac:dyDescent="0.3">
      <c r="A903" s="2" t="s">
        <v>173</v>
      </c>
      <c r="B903" s="2" t="s">
        <v>246</v>
      </c>
      <c r="C903" s="10">
        <v>6</v>
      </c>
    </row>
    <row r="904" spans="1:3" x14ac:dyDescent="0.3">
      <c r="A904" s="2" t="s">
        <v>173</v>
      </c>
      <c r="B904" s="2" t="s">
        <v>248</v>
      </c>
      <c r="C904" s="10">
        <v>1</v>
      </c>
    </row>
    <row r="905" spans="1:3" x14ac:dyDescent="0.3">
      <c r="A905" s="2" t="s">
        <v>173</v>
      </c>
      <c r="B905" s="2" t="s">
        <v>244</v>
      </c>
      <c r="C905" s="10">
        <v>1</v>
      </c>
    </row>
    <row r="906" spans="1:3" x14ac:dyDescent="0.3">
      <c r="A906" s="2" t="s">
        <v>173</v>
      </c>
      <c r="B906" s="2" t="s">
        <v>247</v>
      </c>
      <c r="C906" s="10">
        <v>1</v>
      </c>
    </row>
    <row r="907" spans="1:3" x14ac:dyDescent="0.3">
      <c r="A907" s="2" t="s">
        <v>174</v>
      </c>
      <c r="B907" s="2" t="s">
        <v>244</v>
      </c>
      <c r="C907" s="10">
        <v>12</v>
      </c>
    </row>
    <row r="908" spans="1:3" x14ac:dyDescent="0.3">
      <c r="A908" s="2" t="s">
        <v>174</v>
      </c>
      <c r="B908" s="2" t="s">
        <v>245</v>
      </c>
      <c r="C908" s="10">
        <v>6</v>
      </c>
    </row>
    <row r="909" spans="1:3" x14ac:dyDescent="0.3">
      <c r="A909" s="2" t="s">
        <v>174</v>
      </c>
      <c r="B909" s="2" t="s">
        <v>247</v>
      </c>
      <c r="C909" s="10">
        <v>7</v>
      </c>
    </row>
    <row r="910" spans="1:3" x14ac:dyDescent="0.3">
      <c r="A910" s="2" t="s">
        <v>174</v>
      </c>
      <c r="B910" s="2" t="s">
        <v>254</v>
      </c>
      <c r="C910" s="10">
        <v>31</v>
      </c>
    </row>
    <row r="911" spans="1:3" x14ac:dyDescent="0.3">
      <c r="A911" s="2" t="s">
        <v>174</v>
      </c>
      <c r="B911" s="2" t="s">
        <v>246</v>
      </c>
      <c r="C911" s="10">
        <v>4</v>
      </c>
    </row>
    <row r="912" spans="1:3" x14ac:dyDescent="0.3">
      <c r="A912" s="2" t="s">
        <v>174</v>
      </c>
      <c r="B912" s="2" t="s">
        <v>252</v>
      </c>
      <c r="C912" s="10">
        <v>1</v>
      </c>
    </row>
    <row r="913" spans="1:3" x14ac:dyDescent="0.3">
      <c r="A913" s="2" t="s">
        <v>174</v>
      </c>
      <c r="B913" s="2" t="s">
        <v>253</v>
      </c>
      <c r="C913" s="10">
        <v>7</v>
      </c>
    </row>
    <row r="914" spans="1:3" x14ac:dyDescent="0.3">
      <c r="A914" s="2" t="s">
        <v>174</v>
      </c>
      <c r="B914" s="2" t="s">
        <v>256</v>
      </c>
      <c r="C914" s="10">
        <v>1</v>
      </c>
    </row>
    <row r="915" spans="1:3" x14ac:dyDescent="0.3">
      <c r="A915" s="2" t="s">
        <v>174</v>
      </c>
      <c r="B915" s="2" t="s">
        <v>243</v>
      </c>
      <c r="C915" s="10">
        <v>1</v>
      </c>
    </row>
    <row r="916" spans="1:3" x14ac:dyDescent="0.3">
      <c r="A916" s="2" t="s">
        <v>174</v>
      </c>
      <c r="B916" s="2" t="s">
        <v>250</v>
      </c>
      <c r="C916" s="10">
        <v>1</v>
      </c>
    </row>
    <row r="917" spans="1:3" x14ac:dyDescent="0.3">
      <c r="A917" s="2" t="s">
        <v>174</v>
      </c>
      <c r="B917" s="2" t="s">
        <v>242</v>
      </c>
      <c r="C917" s="10">
        <v>1</v>
      </c>
    </row>
    <row r="918" spans="1:3" x14ac:dyDescent="0.3">
      <c r="A918" s="2" t="s">
        <v>175</v>
      </c>
      <c r="B918" s="2" t="s">
        <v>244</v>
      </c>
      <c r="C918" s="10">
        <v>1</v>
      </c>
    </row>
    <row r="919" spans="1:3" x14ac:dyDescent="0.3">
      <c r="A919" s="2" t="s">
        <v>175</v>
      </c>
      <c r="B919" s="2" t="s">
        <v>242</v>
      </c>
      <c r="C919" s="10">
        <v>1</v>
      </c>
    </row>
    <row r="920" spans="1:3" x14ac:dyDescent="0.3">
      <c r="A920" s="2" t="s">
        <v>175</v>
      </c>
      <c r="B920" s="2" t="s">
        <v>245</v>
      </c>
      <c r="C920" s="10">
        <v>2</v>
      </c>
    </row>
    <row r="921" spans="1:3" x14ac:dyDescent="0.3">
      <c r="A921" s="2" t="s">
        <v>176</v>
      </c>
      <c r="B921" s="2" t="s">
        <v>246</v>
      </c>
      <c r="C921" s="10">
        <v>1</v>
      </c>
    </row>
    <row r="922" spans="1:3" x14ac:dyDescent="0.3">
      <c r="A922" s="2" t="s">
        <v>176</v>
      </c>
      <c r="B922" s="2" t="s">
        <v>244</v>
      </c>
      <c r="C922" s="10">
        <v>1</v>
      </c>
    </row>
    <row r="923" spans="1:3" x14ac:dyDescent="0.3">
      <c r="A923" s="2" t="s">
        <v>176</v>
      </c>
      <c r="B923" s="2" t="s">
        <v>245</v>
      </c>
      <c r="C923" s="10">
        <v>2</v>
      </c>
    </row>
    <row r="924" spans="1:3" x14ac:dyDescent="0.3">
      <c r="A924" s="2" t="s">
        <v>176</v>
      </c>
      <c r="B924" s="2" t="s">
        <v>247</v>
      </c>
      <c r="C924" s="10">
        <v>1</v>
      </c>
    </row>
    <row r="925" spans="1:3" x14ac:dyDescent="0.3">
      <c r="A925" s="2" t="s">
        <v>176</v>
      </c>
      <c r="B925" s="2" t="s">
        <v>248</v>
      </c>
      <c r="C925" s="10">
        <v>1</v>
      </c>
    </row>
    <row r="926" spans="1:3" x14ac:dyDescent="0.3">
      <c r="A926" s="2" t="s">
        <v>177</v>
      </c>
      <c r="B926" s="2" t="s">
        <v>245</v>
      </c>
      <c r="C926" s="10">
        <v>36</v>
      </c>
    </row>
    <row r="927" spans="1:3" x14ac:dyDescent="0.3">
      <c r="A927" s="2" t="s">
        <v>177</v>
      </c>
      <c r="B927" s="2" t="s">
        <v>254</v>
      </c>
      <c r="C927" s="10">
        <v>62</v>
      </c>
    </row>
    <row r="928" spans="1:3" x14ac:dyDescent="0.3">
      <c r="A928" s="2" t="s">
        <v>177</v>
      </c>
      <c r="B928" s="2" t="s">
        <v>247</v>
      </c>
      <c r="C928" s="10">
        <v>9</v>
      </c>
    </row>
    <row r="929" spans="1:3" x14ac:dyDescent="0.3">
      <c r="A929" s="2" t="s">
        <v>177</v>
      </c>
      <c r="B929" s="2" t="s">
        <v>243</v>
      </c>
      <c r="C929" s="10">
        <v>2</v>
      </c>
    </row>
    <row r="930" spans="1:3" x14ac:dyDescent="0.3">
      <c r="A930" s="2" t="s">
        <v>177</v>
      </c>
      <c r="B930" s="2" t="s">
        <v>244</v>
      </c>
      <c r="C930" s="10">
        <v>21</v>
      </c>
    </row>
    <row r="931" spans="1:3" x14ac:dyDescent="0.3">
      <c r="A931" s="2" t="s">
        <v>177</v>
      </c>
      <c r="B931" s="2" t="s">
        <v>250</v>
      </c>
      <c r="C931" s="10">
        <v>1</v>
      </c>
    </row>
    <row r="932" spans="1:3" x14ac:dyDescent="0.3">
      <c r="A932" s="2" t="s">
        <v>177</v>
      </c>
      <c r="B932" s="2" t="s">
        <v>252</v>
      </c>
      <c r="C932" s="10">
        <v>6</v>
      </c>
    </row>
    <row r="933" spans="1:3" x14ac:dyDescent="0.3">
      <c r="A933" s="2" t="s">
        <v>177</v>
      </c>
      <c r="B933" s="2" t="s">
        <v>242</v>
      </c>
      <c r="C933" s="10">
        <v>1</v>
      </c>
    </row>
    <row r="934" spans="1:3" x14ac:dyDescent="0.3">
      <c r="A934" s="2" t="s">
        <v>177</v>
      </c>
      <c r="B934" s="2" t="s">
        <v>248</v>
      </c>
      <c r="C934" s="10">
        <v>1</v>
      </c>
    </row>
    <row r="935" spans="1:3" x14ac:dyDescent="0.3">
      <c r="A935" s="2" t="s">
        <v>177</v>
      </c>
      <c r="B935" s="2" t="s">
        <v>253</v>
      </c>
      <c r="C935" s="10">
        <v>1</v>
      </c>
    </row>
    <row r="936" spans="1:3" x14ac:dyDescent="0.3">
      <c r="A936" s="2" t="s">
        <v>177</v>
      </c>
      <c r="B936" s="2" t="s">
        <v>246</v>
      </c>
      <c r="C936" s="10">
        <v>1</v>
      </c>
    </row>
    <row r="937" spans="1:3" x14ac:dyDescent="0.3">
      <c r="A937" s="2" t="s">
        <v>177</v>
      </c>
      <c r="B937" s="2" t="s">
        <v>255</v>
      </c>
      <c r="C937" s="10">
        <v>1</v>
      </c>
    </row>
    <row r="938" spans="1:3" x14ac:dyDescent="0.3">
      <c r="A938" s="2" t="s">
        <v>179</v>
      </c>
      <c r="B938" s="2" t="s">
        <v>244</v>
      </c>
      <c r="C938" s="10">
        <v>1</v>
      </c>
    </row>
    <row r="939" spans="1:3" x14ac:dyDescent="0.3">
      <c r="A939" s="2" t="s">
        <v>179</v>
      </c>
      <c r="B939" s="2" t="s">
        <v>245</v>
      </c>
      <c r="C939" s="10">
        <v>1</v>
      </c>
    </row>
    <row r="940" spans="1:3" x14ac:dyDescent="0.3">
      <c r="A940" s="2" t="s">
        <v>61</v>
      </c>
      <c r="B940" s="2" t="s">
        <v>246</v>
      </c>
      <c r="C940" s="10">
        <v>4</v>
      </c>
    </row>
    <row r="941" spans="1:3" x14ac:dyDescent="0.3">
      <c r="A941" s="2" t="s">
        <v>61</v>
      </c>
      <c r="B941" s="2" t="s">
        <v>242</v>
      </c>
      <c r="C941" s="10">
        <v>3</v>
      </c>
    </row>
    <row r="942" spans="1:3" x14ac:dyDescent="0.3">
      <c r="A942" s="2" t="s">
        <v>61</v>
      </c>
      <c r="B942" s="2" t="s">
        <v>245</v>
      </c>
      <c r="C942" s="10">
        <v>4</v>
      </c>
    </row>
    <row r="943" spans="1:3" x14ac:dyDescent="0.3">
      <c r="A943" s="2" t="s">
        <v>61</v>
      </c>
      <c r="B943" s="2" t="s">
        <v>247</v>
      </c>
      <c r="C943" s="10">
        <v>2</v>
      </c>
    </row>
    <row r="944" spans="1:3" x14ac:dyDescent="0.3">
      <c r="A944" s="2" t="s">
        <v>61</v>
      </c>
      <c r="B944" s="2" t="s">
        <v>254</v>
      </c>
      <c r="C944" s="10">
        <v>4</v>
      </c>
    </row>
    <row r="945" spans="1:3" x14ac:dyDescent="0.3">
      <c r="A945" s="2" t="s">
        <v>61</v>
      </c>
      <c r="B945" s="2" t="s">
        <v>244</v>
      </c>
      <c r="C945" s="10">
        <v>4</v>
      </c>
    </row>
    <row r="946" spans="1:3" x14ac:dyDescent="0.3">
      <c r="A946" s="2" t="s">
        <v>61</v>
      </c>
      <c r="B946" s="2" t="s">
        <v>256</v>
      </c>
      <c r="C946" s="10">
        <v>1</v>
      </c>
    </row>
    <row r="947" spans="1:3" x14ac:dyDescent="0.3">
      <c r="A947" s="2" t="s">
        <v>180</v>
      </c>
      <c r="B947" s="2" t="s">
        <v>245</v>
      </c>
      <c r="C947" s="10">
        <v>7</v>
      </c>
    </row>
    <row r="948" spans="1:3" x14ac:dyDescent="0.3">
      <c r="A948" s="2" t="s">
        <v>180</v>
      </c>
      <c r="B948" s="2" t="s">
        <v>244</v>
      </c>
      <c r="C948" s="10">
        <v>2</v>
      </c>
    </row>
    <row r="949" spans="1:3" x14ac:dyDescent="0.3">
      <c r="A949" s="2" t="s">
        <v>180</v>
      </c>
      <c r="B949" s="2" t="s">
        <v>242</v>
      </c>
      <c r="C949" s="10">
        <v>1</v>
      </c>
    </row>
    <row r="950" spans="1:3" x14ac:dyDescent="0.3">
      <c r="A950" s="2" t="s">
        <v>180</v>
      </c>
      <c r="B950" s="2" t="s">
        <v>246</v>
      </c>
      <c r="C950" s="10">
        <v>3</v>
      </c>
    </row>
    <row r="951" spans="1:3" x14ac:dyDescent="0.3">
      <c r="A951" s="2" t="s">
        <v>181</v>
      </c>
      <c r="B951" s="2" t="s">
        <v>248</v>
      </c>
      <c r="C951" s="10">
        <v>1</v>
      </c>
    </row>
    <row r="952" spans="1:3" x14ac:dyDescent="0.3">
      <c r="A952" s="2" t="s">
        <v>181</v>
      </c>
      <c r="B952" s="2" t="s">
        <v>245</v>
      </c>
      <c r="C952" s="10">
        <v>5</v>
      </c>
    </row>
    <row r="953" spans="1:3" x14ac:dyDescent="0.3">
      <c r="A953" s="2" t="s">
        <v>181</v>
      </c>
      <c r="B953" s="2" t="s">
        <v>246</v>
      </c>
      <c r="C953" s="10">
        <v>12</v>
      </c>
    </row>
    <row r="954" spans="1:3" x14ac:dyDescent="0.3">
      <c r="A954" s="2" t="s">
        <v>181</v>
      </c>
      <c r="B954" s="2" t="s">
        <v>242</v>
      </c>
      <c r="C954" s="10">
        <v>3</v>
      </c>
    </row>
    <row r="955" spans="1:3" x14ac:dyDescent="0.3">
      <c r="A955" s="2" t="s">
        <v>181</v>
      </c>
      <c r="B955" s="2" t="s">
        <v>243</v>
      </c>
      <c r="C955" s="10">
        <v>2</v>
      </c>
    </row>
    <row r="956" spans="1:3" x14ac:dyDescent="0.3">
      <c r="A956" s="2" t="s">
        <v>182</v>
      </c>
      <c r="B956" s="2" t="s">
        <v>246</v>
      </c>
      <c r="C956" s="10">
        <v>6</v>
      </c>
    </row>
    <row r="957" spans="1:3" x14ac:dyDescent="0.3">
      <c r="A957" s="2" t="s">
        <v>182</v>
      </c>
      <c r="B957" s="2" t="s">
        <v>245</v>
      </c>
      <c r="C957" s="10">
        <v>3</v>
      </c>
    </row>
    <row r="958" spans="1:3" x14ac:dyDescent="0.3">
      <c r="A958" s="2" t="s">
        <v>182</v>
      </c>
      <c r="B958" s="2" t="s">
        <v>244</v>
      </c>
      <c r="C958" s="10">
        <v>1</v>
      </c>
    </row>
    <row r="959" spans="1:3" x14ac:dyDescent="0.3">
      <c r="A959" s="2" t="s">
        <v>182</v>
      </c>
      <c r="B959" s="2" t="s">
        <v>242</v>
      </c>
      <c r="C959" s="10">
        <v>1</v>
      </c>
    </row>
    <row r="960" spans="1:3" x14ac:dyDescent="0.3">
      <c r="A960" s="2" t="s">
        <v>182</v>
      </c>
      <c r="B960" s="2" t="s">
        <v>248</v>
      </c>
      <c r="C960" s="10">
        <v>1</v>
      </c>
    </row>
    <row r="961" spans="1:3" x14ac:dyDescent="0.3">
      <c r="A961" s="2" t="s">
        <v>183</v>
      </c>
      <c r="B961" s="2" t="s">
        <v>246</v>
      </c>
      <c r="C961" s="10">
        <v>8</v>
      </c>
    </row>
    <row r="962" spans="1:3" x14ac:dyDescent="0.3">
      <c r="A962" s="2" t="s">
        <v>183</v>
      </c>
      <c r="B962" s="2" t="s">
        <v>245</v>
      </c>
      <c r="C962" s="10">
        <v>9</v>
      </c>
    </row>
    <row r="963" spans="1:3" x14ac:dyDescent="0.3">
      <c r="A963" s="2" t="s">
        <v>183</v>
      </c>
      <c r="B963" s="2" t="s">
        <v>242</v>
      </c>
      <c r="C963" s="10">
        <v>2</v>
      </c>
    </row>
    <row r="964" spans="1:3" x14ac:dyDescent="0.3">
      <c r="A964" s="2" t="s">
        <v>183</v>
      </c>
      <c r="B964" s="2" t="s">
        <v>244</v>
      </c>
      <c r="C964" s="10">
        <v>2</v>
      </c>
    </row>
    <row r="965" spans="1:3" x14ac:dyDescent="0.3">
      <c r="A965" s="2" t="s">
        <v>183</v>
      </c>
      <c r="B965" s="2" t="s">
        <v>247</v>
      </c>
      <c r="C965" s="10">
        <v>1</v>
      </c>
    </row>
    <row r="966" spans="1:3" x14ac:dyDescent="0.3">
      <c r="A966" s="2" t="s">
        <v>184</v>
      </c>
      <c r="B966" s="2" t="s">
        <v>245</v>
      </c>
      <c r="C966" s="10">
        <v>3</v>
      </c>
    </row>
    <row r="967" spans="1:3" x14ac:dyDescent="0.3">
      <c r="A967" s="2" t="s">
        <v>184</v>
      </c>
      <c r="B967" s="2" t="s">
        <v>253</v>
      </c>
      <c r="C967" s="10">
        <v>1</v>
      </c>
    </row>
    <row r="968" spans="1:3" x14ac:dyDescent="0.3">
      <c r="A968" s="2" t="s">
        <v>184</v>
      </c>
      <c r="B968" s="2" t="s">
        <v>244</v>
      </c>
      <c r="C968" s="10">
        <v>1</v>
      </c>
    </row>
    <row r="969" spans="1:3" x14ac:dyDescent="0.3">
      <c r="A969" s="2" t="s">
        <v>184</v>
      </c>
      <c r="B969" s="2" t="s">
        <v>246</v>
      </c>
      <c r="C969" s="10">
        <v>2</v>
      </c>
    </row>
    <row r="970" spans="1:3" x14ac:dyDescent="0.3">
      <c r="A970" s="2" t="s">
        <v>184</v>
      </c>
      <c r="B970" s="2" t="s">
        <v>251</v>
      </c>
      <c r="C970" s="10">
        <v>1</v>
      </c>
    </row>
    <row r="971" spans="1:3" x14ac:dyDescent="0.3">
      <c r="A971" s="2" t="s">
        <v>184</v>
      </c>
      <c r="B971" s="2" t="s">
        <v>249</v>
      </c>
      <c r="C971" s="10">
        <v>1</v>
      </c>
    </row>
    <row r="972" spans="1:3" x14ac:dyDescent="0.3">
      <c r="A972" s="2" t="s">
        <v>185</v>
      </c>
      <c r="B972" s="2" t="s">
        <v>246</v>
      </c>
      <c r="C972" s="10">
        <v>11</v>
      </c>
    </row>
    <row r="973" spans="1:3" x14ac:dyDescent="0.3">
      <c r="A973" s="2" t="s">
        <v>185</v>
      </c>
      <c r="B973" s="2" t="s">
        <v>251</v>
      </c>
      <c r="C973" s="10">
        <v>2</v>
      </c>
    </row>
    <row r="974" spans="1:3" x14ac:dyDescent="0.3">
      <c r="A974" s="2" t="s">
        <v>185</v>
      </c>
      <c r="B974" s="2" t="s">
        <v>250</v>
      </c>
      <c r="C974" s="10">
        <v>8</v>
      </c>
    </row>
    <row r="975" spans="1:3" x14ac:dyDescent="0.3">
      <c r="A975" s="2" t="s">
        <v>185</v>
      </c>
      <c r="B975" s="2" t="s">
        <v>243</v>
      </c>
      <c r="C975" s="10">
        <v>1</v>
      </c>
    </row>
    <row r="976" spans="1:3" x14ac:dyDescent="0.3">
      <c r="A976" s="2" t="s">
        <v>185</v>
      </c>
      <c r="B976" s="2" t="s">
        <v>247</v>
      </c>
      <c r="C976" s="10">
        <v>3</v>
      </c>
    </row>
    <row r="977" spans="1:3" x14ac:dyDescent="0.3">
      <c r="A977" s="2" t="s">
        <v>185</v>
      </c>
      <c r="B977" s="2" t="s">
        <v>242</v>
      </c>
      <c r="C977" s="10">
        <v>1</v>
      </c>
    </row>
    <row r="978" spans="1:3" x14ac:dyDescent="0.3">
      <c r="A978" s="2" t="s">
        <v>185</v>
      </c>
      <c r="B978" s="2" t="s">
        <v>244</v>
      </c>
      <c r="C978" s="10">
        <v>4</v>
      </c>
    </row>
    <row r="979" spans="1:3" x14ac:dyDescent="0.3">
      <c r="A979" s="2" t="s">
        <v>185</v>
      </c>
      <c r="B979" s="2" t="s">
        <v>245</v>
      </c>
      <c r="C979" s="10">
        <v>1</v>
      </c>
    </row>
    <row r="980" spans="1:3" x14ac:dyDescent="0.3">
      <c r="A980" s="2" t="s">
        <v>186</v>
      </c>
      <c r="B980" s="2" t="s">
        <v>245</v>
      </c>
      <c r="C980" s="10">
        <v>7</v>
      </c>
    </row>
    <row r="981" spans="1:3" x14ac:dyDescent="0.3">
      <c r="A981" s="2" t="s">
        <v>186</v>
      </c>
      <c r="B981" s="2" t="s">
        <v>244</v>
      </c>
      <c r="C981" s="10">
        <v>3</v>
      </c>
    </row>
    <row r="982" spans="1:3" x14ac:dyDescent="0.3">
      <c r="A982" s="2" t="s">
        <v>186</v>
      </c>
      <c r="B982" s="2" t="s">
        <v>246</v>
      </c>
      <c r="C982" s="10">
        <v>1</v>
      </c>
    </row>
    <row r="983" spans="1:3" x14ac:dyDescent="0.3">
      <c r="A983" s="2" t="s">
        <v>186</v>
      </c>
      <c r="B983" s="2" t="s">
        <v>247</v>
      </c>
      <c r="C983" s="10">
        <v>1</v>
      </c>
    </row>
    <row r="984" spans="1:3" x14ac:dyDescent="0.3">
      <c r="A984" s="2" t="s">
        <v>187</v>
      </c>
      <c r="B984" s="2" t="s">
        <v>245</v>
      </c>
      <c r="C984" s="10">
        <v>14</v>
      </c>
    </row>
    <row r="985" spans="1:3" x14ac:dyDescent="0.3">
      <c r="A985" s="2" t="s">
        <v>187</v>
      </c>
      <c r="B985" s="2" t="s">
        <v>248</v>
      </c>
      <c r="C985" s="10">
        <v>1</v>
      </c>
    </row>
    <row r="986" spans="1:3" x14ac:dyDescent="0.3">
      <c r="A986" s="2" t="s">
        <v>187</v>
      </c>
      <c r="B986" s="2" t="s">
        <v>246</v>
      </c>
      <c r="C986" s="10">
        <v>9</v>
      </c>
    </row>
    <row r="987" spans="1:3" x14ac:dyDescent="0.3">
      <c r="A987" s="2" t="s">
        <v>187</v>
      </c>
      <c r="B987" s="2" t="s">
        <v>243</v>
      </c>
      <c r="C987" s="10">
        <v>9</v>
      </c>
    </row>
    <row r="988" spans="1:3" x14ac:dyDescent="0.3">
      <c r="A988" s="2" t="s">
        <v>187</v>
      </c>
      <c r="B988" s="2" t="s">
        <v>247</v>
      </c>
      <c r="C988" s="10">
        <v>9</v>
      </c>
    </row>
    <row r="989" spans="1:3" x14ac:dyDescent="0.3">
      <c r="A989" s="2" t="s">
        <v>187</v>
      </c>
      <c r="B989" s="2" t="s">
        <v>244</v>
      </c>
      <c r="C989" s="10">
        <v>3</v>
      </c>
    </row>
    <row r="990" spans="1:3" x14ac:dyDescent="0.3">
      <c r="A990" s="2" t="s">
        <v>188</v>
      </c>
      <c r="B990" s="2" t="s">
        <v>244</v>
      </c>
      <c r="C990" s="10">
        <v>1</v>
      </c>
    </row>
    <row r="991" spans="1:3" x14ac:dyDescent="0.3">
      <c r="A991" s="2" t="s">
        <v>189</v>
      </c>
      <c r="B991" s="2" t="s">
        <v>244</v>
      </c>
      <c r="C991" s="10">
        <v>5</v>
      </c>
    </row>
    <row r="992" spans="1:3" x14ac:dyDescent="0.3">
      <c r="A992" s="2" t="s">
        <v>189</v>
      </c>
      <c r="B992" s="2" t="s">
        <v>242</v>
      </c>
      <c r="C992" s="10">
        <v>3</v>
      </c>
    </row>
    <row r="993" spans="1:3" x14ac:dyDescent="0.3">
      <c r="A993" s="2" t="s">
        <v>189</v>
      </c>
      <c r="B993" s="2" t="s">
        <v>246</v>
      </c>
      <c r="C993" s="10">
        <v>6</v>
      </c>
    </row>
    <row r="994" spans="1:3" x14ac:dyDescent="0.3">
      <c r="A994" s="2" t="s">
        <v>189</v>
      </c>
      <c r="B994" s="2" t="s">
        <v>245</v>
      </c>
      <c r="C994" s="10">
        <v>19</v>
      </c>
    </row>
    <row r="995" spans="1:3" x14ac:dyDescent="0.3">
      <c r="A995" s="2" t="s">
        <v>189</v>
      </c>
      <c r="B995" s="2" t="s">
        <v>250</v>
      </c>
      <c r="C995" s="10">
        <v>1</v>
      </c>
    </row>
    <row r="996" spans="1:3" x14ac:dyDescent="0.3">
      <c r="A996" s="2" t="s">
        <v>189</v>
      </c>
      <c r="B996" s="2" t="s">
        <v>248</v>
      </c>
      <c r="C996" s="10">
        <v>1</v>
      </c>
    </row>
    <row r="997" spans="1:3" x14ac:dyDescent="0.3">
      <c r="A997" s="2" t="s">
        <v>189</v>
      </c>
      <c r="B997" s="2" t="s">
        <v>243</v>
      </c>
      <c r="C997" s="10">
        <v>1</v>
      </c>
    </row>
    <row r="998" spans="1:3" x14ac:dyDescent="0.3">
      <c r="A998" s="2" t="s">
        <v>190</v>
      </c>
      <c r="B998" s="2" t="s">
        <v>245</v>
      </c>
      <c r="C998" s="10">
        <v>11</v>
      </c>
    </row>
    <row r="999" spans="1:3" x14ac:dyDescent="0.3">
      <c r="A999" s="2" t="s">
        <v>190</v>
      </c>
      <c r="B999" s="2" t="s">
        <v>246</v>
      </c>
      <c r="C999" s="10">
        <v>3</v>
      </c>
    </row>
    <row r="1000" spans="1:3" x14ac:dyDescent="0.3">
      <c r="A1000" s="2" t="s">
        <v>190</v>
      </c>
      <c r="B1000" s="2" t="s">
        <v>250</v>
      </c>
      <c r="C1000" s="10">
        <v>1</v>
      </c>
    </row>
    <row r="1001" spans="1:3" x14ac:dyDescent="0.3">
      <c r="A1001" s="2" t="s">
        <v>190</v>
      </c>
      <c r="B1001" s="2" t="s">
        <v>244</v>
      </c>
      <c r="C1001" s="10">
        <v>2</v>
      </c>
    </row>
    <row r="1002" spans="1:3" x14ac:dyDescent="0.3">
      <c r="A1002" s="2" t="s">
        <v>191</v>
      </c>
      <c r="B1002" s="2" t="s">
        <v>249</v>
      </c>
      <c r="C1002" s="10">
        <v>1</v>
      </c>
    </row>
    <row r="1003" spans="1:3" x14ac:dyDescent="0.3">
      <c r="A1003" s="2" t="s">
        <v>191</v>
      </c>
      <c r="B1003" s="2" t="s">
        <v>243</v>
      </c>
      <c r="C1003" s="10">
        <v>1</v>
      </c>
    </row>
    <row r="1004" spans="1:3" x14ac:dyDescent="0.3">
      <c r="A1004" s="2" t="s">
        <v>191</v>
      </c>
      <c r="B1004" s="2" t="s">
        <v>245</v>
      </c>
      <c r="C1004" s="10">
        <v>3</v>
      </c>
    </row>
    <row r="1005" spans="1:3" x14ac:dyDescent="0.3">
      <c r="A1005" s="2" t="s">
        <v>191</v>
      </c>
      <c r="B1005" s="2" t="s">
        <v>246</v>
      </c>
      <c r="C1005" s="10">
        <v>1</v>
      </c>
    </row>
    <row r="1006" spans="1:3" x14ac:dyDescent="0.3">
      <c r="A1006" s="2" t="s">
        <v>178</v>
      </c>
      <c r="B1006" s="2" t="s">
        <v>245</v>
      </c>
      <c r="C1006" s="10">
        <v>58</v>
      </c>
    </row>
    <row r="1007" spans="1:3" x14ac:dyDescent="0.3">
      <c r="A1007" s="2" t="s">
        <v>178</v>
      </c>
      <c r="B1007" s="2" t="s">
        <v>243</v>
      </c>
      <c r="C1007" s="10">
        <v>8</v>
      </c>
    </row>
    <row r="1008" spans="1:3" x14ac:dyDescent="0.3">
      <c r="A1008" s="2" t="s">
        <v>178</v>
      </c>
      <c r="B1008" s="2" t="s">
        <v>247</v>
      </c>
      <c r="C1008" s="10">
        <v>30</v>
      </c>
    </row>
    <row r="1009" spans="1:3" x14ac:dyDescent="0.3">
      <c r="A1009" s="2" t="s">
        <v>178</v>
      </c>
      <c r="B1009" s="2" t="s">
        <v>244</v>
      </c>
      <c r="C1009" s="10">
        <v>73</v>
      </c>
    </row>
    <row r="1010" spans="1:3" x14ac:dyDescent="0.3">
      <c r="A1010" s="2" t="s">
        <v>178</v>
      </c>
      <c r="B1010" s="2" t="s">
        <v>249</v>
      </c>
      <c r="C1010" s="10">
        <v>1</v>
      </c>
    </row>
    <row r="1011" spans="1:3" x14ac:dyDescent="0.3">
      <c r="A1011" s="2" t="s">
        <v>178</v>
      </c>
      <c r="B1011" s="2" t="s">
        <v>252</v>
      </c>
      <c r="C1011" s="10">
        <v>15</v>
      </c>
    </row>
    <row r="1012" spans="1:3" x14ac:dyDescent="0.3">
      <c r="A1012" s="2" t="s">
        <v>178</v>
      </c>
      <c r="B1012" s="2" t="s">
        <v>254</v>
      </c>
      <c r="C1012" s="10">
        <v>109</v>
      </c>
    </row>
    <row r="1013" spans="1:3" x14ac:dyDescent="0.3">
      <c r="A1013" s="2" t="s">
        <v>178</v>
      </c>
      <c r="B1013" s="2" t="s">
        <v>248</v>
      </c>
      <c r="C1013" s="10">
        <v>1</v>
      </c>
    </row>
    <row r="1014" spans="1:3" x14ac:dyDescent="0.3">
      <c r="A1014" s="2" t="s">
        <v>178</v>
      </c>
      <c r="B1014" s="2" t="s">
        <v>250</v>
      </c>
      <c r="C1014" s="10">
        <v>4</v>
      </c>
    </row>
    <row r="1015" spans="1:3" x14ac:dyDescent="0.3">
      <c r="A1015" s="2" t="s">
        <v>178</v>
      </c>
      <c r="B1015" s="2" t="s">
        <v>253</v>
      </c>
      <c r="C1015" s="10">
        <v>1</v>
      </c>
    </row>
    <row r="1016" spans="1:3" x14ac:dyDescent="0.3">
      <c r="A1016" s="2" t="s">
        <v>178</v>
      </c>
      <c r="B1016" s="2" t="s">
        <v>246</v>
      </c>
      <c r="C1016" s="10">
        <v>1</v>
      </c>
    </row>
    <row r="1017" spans="1:3" x14ac:dyDescent="0.3">
      <c r="A1017" s="2" t="s">
        <v>192</v>
      </c>
      <c r="B1017" s="2" t="s">
        <v>244</v>
      </c>
      <c r="C1017" s="10">
        <v>2</v>
      </c>
    </row>
    <row r="1018" spans="1:3" x14ac:dyDescent="0.3">
      <c r="A1018" s="2" t="s">
        <v>192</v>
      </c>
      <c r="B1018" s="2" t="s">
        <v>246</v>
      </c>
      <c r="C1018" s="10">
        <v>2</v>
      </c>
    </row>
    <row r="1019" spans="1:3" x14ac:dyDescent="0.3">
      <c r="A1019" s="2" t="s">
        <v>192</v>
      </c>
      <c r="B1019" s="2" t="s">
        <v>245</v>
      </c>
      <c r="C1019" s="10">
        <v>6</v>
      </c>
    </row>
    <row r="1020" spans="1:3" x14ac:dyDescent="0.3">
      <c r="A1020" s="2" t="s">
        <v>193</v>
      </c>
      <c r="B1020" s="2" t="s">
        <v>246</v>
      </c>
      <c r="C1020" s="10">
        <v>2</v>
      </c>
    </row>
    <row r="1021" spans="1:3" x14ac:dyDescent="0.3">
      <c r="A1021" s="2" t="s">
        <v>193</v>
      </c>
      <c r="B1021" s="2" t="s">
        <v>244</v>
      </c>
      <c r="C1021" s="10">
        <v>1</v>
      </c>
    </row>
    <row r="1022" spans="1:3" x14ac:dyDescent="0.3">
      <c r="A1022" s="2" t="s">
        <v>194</v>
      </c>
      <c r="B1022" s="2" t="s">
        <v>253</v>
      </c>
      <c r="C1022" s="10">
        <v>3</v>
      </c>
    </row>
    <row r="1023" spans="1:3" x14ac:dyDescent="0.3">
      <c r="A1023" s="2" t="s">
        <v>194</v>
      </c>
      <c r="B1023" s="2" t="s">
        <v>245</v>
      </c>
      <c r="C1023" s="10">
        <v>3</v>
      </c>
    </row>
    <row r="1024" spans="1:3" x14ac:dyDescent="0.3">
      <c r="A1024" s="2" t="s">
        <v>194</v>
      </c>
      <c r="B1024" s="2" t="s">
        <v>242</v>
      </c>
      <c r="C1024" s="10">
        <v>1</v>
      </c>
    </row>
    <row r="1025" spans="1:3" x14ac:dyDescent="0.3">
      <c r="A1025" s="2" t="s">
        <v>194</v>
      </c>
      <c r="B1025" s="2" t="s">
        <v>244</v>
      </c>
      <c r="C1025" s="10">
        <v>1</v>
      </c>
    </row>
    <row r="1026" spans="1:3" x14ac:dyDescent="0.3">
      <c r="A1026" s="2" t="s">
        <v>194</v>
      </c>
      <c r="B1026" s="2" t="s">
        <v>246</v>
      </c>
      <c r="C1026" s="10">
        <v>2</v>
      </c>
    </row>
    <row r="1027" spans="1:3" x14ac:dyDescent="0.3">
      <c r="A1027" s="2" t="s">
        <v>194</v>
      </c>
      <c r="B1027" s="2" t="s">
        <v>254</v>
      </c>
      <c r="C1027" s="10">
        <v>4</v>
      </c>
    </row>
    <row r="1028" spans="1:3" x14ac:dyDescent="0.3">
      <c r="A1028" s="2" t="s">
        <v>195</v>
      </c>
      <c r="B1028" s="2" t="s">
        <v>247</v>
      </c>
      <c r="C1028" s="10">
        <v>5</v>
      </c>
    </row>
    <row r="1029" spans="1:3" x14ac:dyDescent="0.3">
      <c r="A1029" s="2" t="s">
        <v>195</v>
      </c>
      <c r="B1029" s="2" t="s">
        <v>245</v>
      </c>
      <c r="C1029" s="10">
        <v>5</v>
      </c>
    </row>
    <row r="1030" spans="1:3" x14ac:dyDescent="0.3">
      <c r="A1030" s="2" t="s">
        <v>195</v>
      </c>
      <c r="B1030" s="2" t="s">
        <v>243</v>
      </c>
      <c r="C1030" s="10">
        <v>6</v>
      </c>
    </row>
    <row r="1031" spans="1:3" x14ac:dyDescent="0.3">
      <c r="A1031" s="2" t="s">
        <v>195</v>
      </c>
      <c r="B1031" s="2" t="s">
        <v>246</v>
      </c>
      <c r="C1031" s="10">
        <v>8</v>
      </c>
    </row>
    <row r="1032" spans="1:3" x14ac:dyDescent="0.3">
      <c r="A1032" s="2" t="s">
        <v>195</v>
      </c>
      <c r="B1032" s="2" t="s">
        <v>242</v>
      </c>
      <c r="C1032" s="10">
        <v>1</v>
      </c>
    </row>
    <row r="1033" spans="1:3" x14ac:dyDescent="0.3">
      <c r="A1033" s="2" t="s">
        <v>195</v>
      </c>
      <c r="B1033" s="2" t="s">
        <v>244</v>
      </c>
      <c r="C1033" s="10">
        <v>1</v>
      </c>
    </row>
    <row r="1034" spans="1:3" x14ac:dyDescent="0.3">
      <c r="A1034" s="2" t="s">
        <v>195</v>
      </c>
      <c r="B1034" s="2" t="s">
        <v>248</v>
      </c>
      <c r="C1034" s="10">
        <v>1</v>
      </c>
    </row>
    <row r="1035" spans="1:3" x14ac:dyDescent="0.3">
      <c r="A1035" s="2" t="s">
        <v>196</v>
      </c>
      <c r="B1035" s="2" t="s">
        <v>248</v>
      </c>
      <c r="C1035" s="10">
        <v>1</v>
      </c>
    </row>
    <row r="1036" spans="1:3" x14ac:dyDescent="0.3">
      <c r="A1036" s="2" t="s">
        <v>196</v>
      </c>
      <c r="B1036" s="2" t="s">
        <v>250</v>
      </c>
      <c r="C1036" s="10">
        <v>1</v>
      </c>
    </row>
    <row r="1037" spans="1:3" x14ac:dyDescent="0.3">
      <c r="A1037" s="2" t="s">
        <v>196</v>
      </c>
      <c r="B1037" s="2" t="s">
        <v>245</v>
      </c>
      <c r="C1037" s="10">
        <v>2</v>
      </c>
    </row>
    <row r="1038" spans="1:3" x14ac:dyDescent="0.3">
      <c r="A1038" s="2" t="s">
        <v>196</v>
      </c>
      <c r="B1038" s="2" t="s">
        <v>247</v>
      </c>
      <c r="C1038" s="10">
        <v>1</v>
      </c>
    </row>
    <row r="1039" spans="1:3" x14ac:dyDescent="0.3">
      <c r="A1039" s="2" t="s">
        <v>196</v>
      </c>
      <c r="B1039" s="2" t="s">
        <v>246</v>
      </c>
      <c r="C1039" s="10">
        <v>1</v>
      </c>
    </row>
    <row r="1040" spans="1:3" x14ac:dyDescent="0.3">
      <c r="A1040" s="2" t="s">
        <v>197</v>
      </c>
      <c r="B1040" s="2" t="s">
        <v>245</v>
      </c>
      <c r="C1040" s="10">
        <v>9</v>
      </c>
    </row>
    <row r="1041" spans="1:3" x14ac:dyDescent="0.3">
      <c r="A1041" s="2" t="s">
        <v>197</v>
      </c>
      <c r="B1041" s="2" t="s">
        <v>246</v>
      </c>
      <c r="C1041" s="10">
        <v>2</v>
      </c>
    </row>
    <row r="1042" spans="1:3" x14ac:dyDescent="0.3">
      <c r="A1042" s="2" t="s">
        <v>197</v>
      </c>
      <c r="B1042" s="2" t="s">
        <v>254</v>
      </c>
      <c r="C1042" s="10">
        <v>2</v>
      </c>
    </row>
    <row r="1043" spans="1:3" x14ac:dyDescent="0.3">
      <c r="A1043" s="2" t="s">
        <v>197</v>
      </c>
      <c r="B1043" s="2" t="s">
        <v>253</v>
      </c>
      <c r="C1043" s="10">
        <v>1</v>
      </c>
    </row>
    <row r="1044" spans="1:3" x14ac:dyDescent="0.3">
      <c r="A1044" s="2" t="s">
        <v>197</v>
      </c>
      <c r="B1044" s="2" t="s">
        <v>247</v>
      </c>
      <c r="C1044" s="10">
        <v>1</v>
      </c>
    </row>
    <row r="1045" spans="1:3" x14ac:dyDescent="0.3">
      <c r="A1045" s="2" t="s">
        <v>197</v>
      </c>
      <c r="B1045" s="2" t="s">
        <v>243</v>
      </c>
      <c r="C1045" s="10">
        <v>1</v>
      </c>
    </row>
    <row r="1046" spans="1:3" x14ac:dyDescent="0.3">
      <c r="A1046" s="2" t="s">
        <v>197</v>
      </c>
      <c r="B1046" s="2" t="s">
        <v>242</v>
      </c>
      <c r="C1046" s="10">
        <v>1</v>
      </c>
    </row>
    <row r="1047" spans="1:3" x14ac:dyDescent="0.3">
      <c r="A1047" s="2" t="s">
        <v>197</v>
      </c>
      <c r="B1047" s="2" t="s">
        <v>244</v>
      </c>
      <c r="C1047" s="10">
        <v>1</v>
      </c>
    </row>
    <row r="1048" spans="1:3" x14ac:dyDescent="0.3">
      <c r="A1048" s="2" t="s">
        <v>198</v>
      </c>
      <c r="B1048" s="2" t="s">
        <v>246</v>
      </c>
      <c r="C1048" s="10">
        <v>1</v>
      </c>
    </row>
    <row r="1049" spans="1:3" x14ac:dyDescent="0.3">
      <c r="A1049" s="2" t="s">
        <v>198</v>
      </c>
      <c r="B1049" s="2" t="s">
        <v>245</v>
      </c>
      <c r="C1049" s="10">
        <v>4</v>
      </c>
    </row>
    <row r="1050" spans="1:3" x14ac:dyDescent="0.3">
      <c r="A1050" s="2" t="s">
        <v>198</v>
      </c>
      <c r="B1050" s="2" t="s">
        <v>248</v>
      </c>
      <c r="C1050" s="10">
        <v>1</v>
      </c>
    </row>
    <row r="1051" spans="1:3" x14ac:dyDescent="0.3">
      <c r="A1051" s="2" t="s">
        <v>198</v>
      </c>
      <c r="B1051" s="2" t="s">
        <v>242</v>
      </c>
      <c r="C1051" s="10">
        <v>1</v>
      </c>
    </row>
    <row r="1052" spans="1:3" x14ac:dyDescent="0.3">
      <c r="A1052" s="2" t="s">
        <v>199</v>
      </c>
      <c r="B1052" s="2" t="s">
        <v>245</v>
      </c>
      <c r="C1052" s="10">
        <v>57</v>
      </c>
    </row>
    <row r="1053" spans="1:3" x14ac:dyDescent="0.3">
      <c r="A1053" s="2" t="s">
        <v>199</v>
      </c>
      <c r="B1053" s="2" t="s">
        <v>243</v>
      </c>
      <c r="C1053" s="10">
        <v>3</v>
      </c>
    </row>
    <row r="1054" spans="1:3" x14ac:dyDescent="0.3">
      <c r="A1054" s="2" t="s">
        <v>199</v>
      </c>
      <c r="B1054" s="2" t="s">
        <v>244</v>
      </c>
      <c r="C1054" s="10">
        <v>7</v>
      </c>
    </row>
    <row r="1055" spans="1:3" x14ac:dyDescent="0.3">
      <c r="A1055" s="2" t="s">
        <v>199</v>
      </c>
      <c r="B1055" s="2" t="s">
        <v>247</v>
      </c>
      <c r="C1055" s="10">
        <v>11</v>
      </c>
    </row>
    <row r="1056" spans="1:3" x14ac:dyDescent="0.3">
      <c r="A1056" s="2" t="s">
        <v>199</v>
      </c>
      <c r="B1056" s="2" t="s">
        <v>246</v>
      </c>
      <c r="C1056" s="10">
        <v>23</v>
      </c>
    </row>
    <row r="1057" spans="1:3" x14ac:dyDescent="0.3">
      <c r="A1057" s="2" t="s">
        <v>199</v>
      </c>
      <c r="B1057" s="2" t="s">
        <v>252</v>
      </c>
      <c r="C1057" s="10">
        <v>3</v>
      </c>
    </row>
    <row r="1058" spans="1:3" x14ac:dyDescent="0.3">
      <c r="A1058" s="2" t="s">
        <v>199</v>
      </c>
      <c r="B1058" s="2" t="s">
        <v>253</v>
      </c>
      <c r="C1058" s="10">
        <v>8</v>
      </c>
    </row>
    <row r="1059" spans="1:3" x14ac:dyDescent="0.3">
      <c r="A1059" s="2" t="s">
        <v>199</v>
      </c>
      <c r="B1059" s="2" t="s">
        <v>254</v>
      </c>
      <c r="C1059" s="10">
        <v>15</v>
      </c>
    </row>
    <row r="1060" spans="1:3" x14ac:dyDescent="0.3">
      <c r="A1060" s="2" t="s">
        <v>199</v>
      </c>
      <c r="B1060" s="2" t="s">
        <v>256</v>
      </c>
      <c r="C1060" s="10">
        <v>6</v>
      </c>
    </row>
    <row r="1061" spans="1:3" x14ac:dyDescent="0.3">
      <c r="A1061" s="2" t="s">
        <v>199</v>
      </c>
      <c r="B1061" s="2" t="s">
        <v>250</v>
      </c>
      <c r="C1061" s="10">
        <v>1</v>
      </c>
    </row>
    <row r="1062" spans="1:3" x14ac:dyDescent="0.3">
      <c r="A1062" s="2" t="s">
        <v>199</v>
      </c>
      <c r="B1062" s="2" t="s">
        <v>242</v>
      </c>
      <c r="C1062" s="10">
        <v>2</v>
      </c>
    </row>
    <row r="1063" spans="1:3" x14ac:dyDescent="0.3">
      <c r="A1063" s="2" t="s">
        <v>199</v>
      </c>
      <c r="B1063" s="2" t="s">
        <v>248</v>
      </c>
      <c r="C1063" s="10">
        <v>1</v>
      </c>
    </row>
    <row r="1064" spans="1:3" x14ac:dyDescent="0.3">
      <c r="A1064" s="2" t="s">
        <v>199</v>
      </c>
      <c r="B1064" s="2" t="s">
        <v>255</v>
      </c>
      <c r="C1064" s="10">
        <v>1</v>
      </c>
    </row>
    <row r="1065" spans="1:3" x14ac:dyDescent="0.3">
      <c r="A1065" s="2" t="s">
        <v>201</v>
      </c>
      <c r="B1065" s="2" t="s">
        <v>246</v>
      </c>
      <c r="C1065" s="10">
        <v>1</v>
      </c>
    </row>
    <row r="1066" spans="1:3" x14ac:dyDescent="0.3">
      <c r="A1066" s="2" t="s">
        <v>201</v>
      </c>
      <c r="B1066" s="2" t="s">
        <v>242</v>
      </c>
      <c r="C1066" s="10">
        <v>1</v>
      </c>
    </row>
    <row r="1067" spans="1:3" x14ac:dyDescent="0.3">
      <c r="A1067" s="2" t="s">
        <v>202</v>
      </c>
      <c r="B1067" s="2" t="s">
        <v>245</v>
      </c>
      <c r="C1067" s="10">
        <v>2</v>
      </c>
    </row>
    <row r="1068" spans="1:3" x14ac:dyDescent="0.3">
      <c r="A1068" s="2" t="s">
        <v>202</v>
      </c>
      <c r="B1068" s="2" t="s">
        <v>242</v>
      </c>
      <c r="C1068" s="10">
        <v>1</v>
      </c>
    </row>
    <row r="1069" spans="1:3" x14ac:dyDescent="0.3">
      <c r="A1069" s="2" t="s">
        <v>202</v>
      </c>
      <c r="B1069" s="2" t="s">
        <v>246</v>
      </c>
      <c r="C1069" s="10">
        <v>1</v>
      </c>
    </row>
    <row r="1070" spans="1:3" x14ac:dyDescent="0.3">
      <c r="A1070" s="2" t="s">
        <v>203</v>
      </c>
      <c r="B1070" s="2" t="s">
        <v>245</v>
      </c>
      <c r="C1070" s="10">
        <v>11</v>
      </c>
    </row>
    <row r="1071" spans="1:3" x14ac:dyDescent="0.3">
      <c r="A1071" s="2" t="s">
        <v>203</v>
      </c>
      <c r="B1071" s="2" t="s">
        <v>246</v>
      </c>
      <c r="C1071" s="10">
        <v>6</v>
      </c>
    </row>
    <row r="1072" spans="1:3" x14ac:dyDescent="0.3">
      <c r="A1072" s="2" t="s">
        <v>203</v>
      </c>
      <c r="B1072" s="2" t="s">
        <v>247</v>
      </c>
      <c r="C1072" s="10">
        <v>4</v>
      </c>
    </row>
    <row r="1073" spans="1:3" x14ac:dyDescent="0.3">
      <c r="A1073" s="2" t="s">
        <v>203</v>
      </c>
      <c r="B1073" s="2" t="s">
        <v>243</v>
      </c>
      <c r="C1073" s="10">
        <v>1</v>
      </c>
    </row>
    <row r="1074" spans="1:3" x14ac:dyDescent="0.3">
      <c r="A1074" s="2" t="s">
        <v>204</v>
      </c>
      <c r="B1074" s="2" t="s">
        <v>244</v>
      </c>
      <c r="C1074" s="10">
        <v>1</v>
      </c>
    </row>
    <row r="1075" spans="1:3" x14ac:dyDescent="0.3">
      <c r="A1075" s="2" t="s">
        <v>204</v>
      </c>
      <c r="B1075" s="2" t="s">
        <v>245</v>
      </c>
      <c r="C1075" s="10">
        <v>2</v>
      </c>
    </row>
    <row r="1076" spans="1:3" x14ac:dyDescent="0.3">
      <c r="A1076" s="2" t="s">
        <v>205</v>
      </c>
      <c r="B1076" s="2" t="s">
        <v>245</v>
      </c>
      <c r="C1076" s="10">
        <v>1</v>
      </c>
    </row>
    <row r="1077" spans="1:3" x14ac:dyDescent="0.3">
      <c r="A1077" s="2" t="s">
        <v>206</v>
      </c>
      <c r="B1077" s="2" t="s">
        <v>242</v>
      </c>
      <c r="C1077" s="10">
        <v>1</v>
      </c>
    </row>
    <row r="1078" spans="1:3" x14ac:dyDescent="0.3">
      <c r="A1078" s="2" t="s">
        <v>206</v>
      </c>
      <c r="B1078" s="2" t="s">
        <v>245</v>
      </c>
      <c r="C1078" s="10">
        <v>2</v>
      </c>
    </row>
    <row r="1079" spans="1:3" x14ac:dyDescent="0.3">
      <c r="A1079" s="2" t="s">
        <v>207</v>
      </c>
      <c r="B1079" s="2" t="s">
        <v>245</v>
      </c>
      <c r="C1079" s="10">
        <v>1</v>
      </c>
    </row>
    <row r="1080" spans="1:3" x14ac:dyDescent="0.3">
      <c r="A1080" s="2" t="s">
        <v>207</v>
      </c>
      <c r="B1080" s="2" t="s">
        <v>244</v>
      </c>
      <c r="C1080" s="10">
        <v>2</v>
      </c>
    </row>
    <row r="1081" spans="1:3" x14ac:dyDescent="0.3">
      <c r="A1081" s="2" t="s">
        <v>207</v>
      </c>
      <c r="B1081" s="2" t="s">
        <v>248</v>
      </c>
      <c r="C1081" s="10">
        <v>1</v>
      </c>
    </row>
    <row r="1082" spans="1:3" x14ac:dyDescent="0.3">
      <c r="A1082" s="2" t="s">
        <v>208</v>
      </c>
      <c r="B1082" s="2" t="s">
        <v>246</v>
      </c>
      <c r="C1082" s="10">
        <v>2</v>
      </c>
    </row>
    <row r="1083" spans="1:3" x14ac:dyDescent="0.3">
      <c r="A1083" s="2" t="s">
        <v>208</v>
      </c>
      <c r="B1083" s="2" t="s">
        <v>247</v>
      </c>
      <c r="C1083" s="10">
        <v>4</v>
      </c>
    </row>
    <row r="1084" spans="1:3" x14ac:dyDescent="0.3">
      <c r="A1084" s="2" t="s">
        <v>208</v>
      </c>
      <c r="B1084" s="2" t="s">
        <v>243</v>
      </c>
      <c r="C1084" s="10">
        <v>1</v>
      </c>
    </row>
    <row r="1085" spans="1:3" x14ac:dyDescent="0.3">
      <c r="A1085" s="2" t="s">
        <v>208</v>
      </c>
      <c r="B1085" s="2" t="s">
        <v>245</v>
      </c>
      <c r="C1085" s="10">
        <v>2</v>
      </c>
    </row>
    <row r="1086" spans="1:3" x14ac:dyDescent="0.3">
      <c r="A1086" s="2" t="s">
        <v>209</v>
      </c>
      <c r="B1086" s="2" t="s">
        <v>246</v>
      </c>
      <c r="C1086" s="10">
        <v>7</v>
      </c>
    </row>
    <row r="1087" spans="1:3" x14ac:dyDescent="0.3">
      <c r="A1087" s="2" t="s">
        <v>209</v>
      </c>
      <c r="B1087" s="2" t="s">
        <v>244</v>
      </c>
      <c r="C1087" s="10">
        <v>1</v>
      </c>
    </row>
    <row r="1088" spans="1:3" x14ac:dyDescent="0.3">
      <c r="A1088" s="2" t="s">
        <v>209</v>
      </c>
      <c r="B1088" s="2" t="s">
        <v>251</v>
      </c>
      <c r="C1088" s="10">
        <v>1</v>
      </c>
    </row>
    <row r="1089" spans="1:3" x14ac:dyDescent="0.3">
      <c r="A1089" s="2" t="s">
        <v>209</v>
      </c>
      <c r="B1089" s="2" t="s">
        <v>245</v>
      </c>
      <c r="C1089" s="10">
        <v>5</v>
      </c>
    </row>
    <row r="1090" spans="1:3" x14ac:dyDescent="0.3">
      <c r="A1090" s="2" t="s">
        <v>209</v>
      </c>
      <c r="B1090" s="2" t="s">
        <v>247</v>
      </c>
      <c r="C1090" s="10">
        <v>2</v>
      </c>
    </row>
    <row r="1091" spans="1:3" x14ac:dyDescent="0.3">
      <c r="A1091" s="2" t="s">
        <v>209</v>
      </c>
      <c r="B1091" s="2" t="s">
        <v>253</v>
      </c>
      <c r="C1091" s="10">
        <v>2</v>
      </c>
    </row>
    <row r="1092" spans="1:3" x14ac:dyDescent="0.3">
      <c r="A1092" s="2" t="s">
        <v>209</v>
      </c>
      <c r="B1092" s="2" t="s">
        <v>242</v>
      </c>
      <c r="C1092" s="10">
        <v>2</v>
      </c>
    </row>
    <row r="1093" spans="1:3" x14ac:dyDescent="0.3">
      <c r="A1093" s="2" t="s">
        <v>210</v>
      </c>
      <c r="B1093" s="2" t="s">
        <v>245</v>
      </c>
      <c r="C1093" s="10">
        <v>6</v>
      </c>
    </row>
    <row r="1094" spans="1:3" x14ac:dyDescent="0.3">
      <c r="A1094" s="2" t="s">
        <v>210</v>
      </c>
      <c r="B1094" s="2" t="s">
        <v>246</v>
      </c>
      <c r="C1094" s="10">
        <v>4</v>
      </c>
    </row>
    <row r="1095" spans="1:3" x14ac:dyDescent="0.3">
      <c r="A1095" s="2" t="s">
        <v>211</v>
      </c>
      <c r="B1095" s="2" t="s">
        <v>245</v>
      </c>
      <c r="C1095" s="10">
        <v>3</v>
      </c>
    </row>
    <row r="1096" spans="1:3" x14ac:dyDescent="0.3">
      <c r="A1096" s="2" t="s">
        <v>211</v>
      </c>
      <c r="B1096" s="2" t="s">
        <v>242</v>
      </c>
      <c r="C1096" s="10">
        <v>1</v>
      </c>
    </row>
    <row r="1097" spans="1:3" x14ac:dyDescent="0.3">
      <c r="A1097" s="2" t="s">
        <v>211</v>
      </c>
      <c r="B1097" s="2" t="s">
        <v>246</v>
      </c>
      <c r="C1097" s="10">
        <v>2</v>
      </c>
    </row>
    <row r="1098" spans="1:3" x14ac:dyDescent="0.3">
      <c r="A1098" s="2" t="s">
        <v>211</v>
      </c>
      <c r="B1098" s="2" t="s">
        <v>248</v>
      </c>
      <c r="C1098" s="10">
        <v>1</v>
      </c>
    </row>
    <row r="1099" spans="1:3" x14ac:dyDescent="0.3">
      <c r="A1099" s="2" t="s">
        <v>211</v>
      </c>
      <c r="B1099" s="2" t="s">
        <v>244</v>
      </c>
      <c r="C1099" s="10">
        <v>2</v>
      </c>
    </row>
    <row r="1100" spans="1:3" x14ac:dyDescent="0.3">
      <c r="A1100" s="2" t="s">
        <v>212</v>
      </c>
      <c r="B1100" s="2" t="s">
        <v>242</v>
      </c>
      <c r="C1100" s="10">
        <v>1</v>
      </c>
    </row>
    <row r="1101" spans="1:3" x14ac:dyDescent="0.3">
      <c r="A1101" s="2" t="s">
        <v>212</v>
      </c>
      <c r="B1101" s="2" t="s">
        <v>245</v>
      </c>
      <c r="C1101" s="10">
        <v>5</v>
      </c>
    </row>
    <row r="1102" spans="1:3" x14ac:dyDescent="0.3">
      <c r="A1102" s="2" t="s">
        <v>212</v>
      </c>
      <c r="B1102" s="2" t="s">
        <v>243</v>
      </c>
      <c r="C1102" s="10">
        <v>1</v>
      </c>
    </row>
    <row r="1103" spans="1:3" x14ac:dyDescent="0.3">
      <c r="A1103" s="2" t="s">
        <v>212</v>
      </c>
      <c r="B1103" s="2" t="s">
        <v>247</v>
      </c>
      <c r="C1103" s="10">
        <v>3</v>
      </c>
    </row>
    <row r="1104" spans="1:3" x14ac:dyDescent="0.3">
      <c r="A1104" s="2" t="s">
        <v>212</v>
      </c>
      <c r="B1104" s="2" t="s">
        <v>244</v>
      </c>
      <c r="C1104" s="10">
        <v>1</v>
      </c>
    </row>
    <row r="1105" spans="1:3" x14ac:dyDescent="0.3">
      <c r="A1105" s="2" t="s">
        <v>213</v>
      </c>
      <c r="B1105" s="2" t="s">
        <v>242</v>
      </c>
      <c r="C1105" s="10">
        <v>1</v>
      </c>
    </row>
    <row r="1106" spans="1:3" x14ac:dyDescent="0.3">
      <c r="A1106" s="2" t="s">
        <v>213</v>
      </c>
      <c r="B1106" s="2" t="s">
        <v>245</v>
      </c>
      <c r="C1106" s="10">
        <v>1</v>
      </c>
    </row>
    <row r="1107" spans="1:3" x14ac:dyDescent="0.3">
      <c r="A1107" s="2" t="s">
        <v>214</v>
      </c>
      <c r="B1107" s="2" t="s">
        <v>246</v>
      </c>
      <c r="C1107" s="10">
        <v>7</v>
      </c>
    </row>
    <row r="1108" spans="1:3" x14ac:dyDescent="0.3">
      <c r="A1108" s="2" t="s">
        <v>214</v>
      </c>
      <c r="B1108" s="2" t="s">
        <v>249</v>
      </c>
      <c r="C1108" s="10">
        <v>1</v>
      </c>
    </row>
    <row r="1109" spans="1:3" x14ac:dyDescent="0.3">
      <c r="A1109" s="2" t="s">
        <v>214</v>
      </c>
      <c r="B1109" s="2" t="s">
        <v>245</v>
      </c>
      <c r="C1109" s="10">
        <v>5</v>
      </c>
    </row>
    <row r="1110" spans="1:3" x14ac:dyDescent="0.3">
      <c r="A1110" s="2" t="s">
        <v>214</v>
      </c>
      <c r="B1110" s="2" t="s">
        <v>243</v>
      </c>
      <c r="C1110" s="10">
        <v>1</v>
      </c>
    </row>
    <row r="1111" spans="1:3" x14ac:dyDescent="0.3">
      <c r="A1111" s="2" t="s">
        <v>214</v>
      </c>
      <c r="B1111" s="2" t="s">
        <v>252</v>
      </c>
      <c r="C1111" s="10">
        <v>1</v>
      </c>
    </row>
    <row r="1112" spans="1:3" x14ac:dyDescent="0.3">
      <c r="A1112" s="2" t="s">
        <v>214</v>
      </c>
      <c r="B1112" s="2" t="s">
        <v>247</v>
      </c>
      <c r="C1112" s="10">
        <v>1</v>
      </c>
    </row>
    <row r="1113" spans="1:3" x14ac:dyDescent="0.3">
      <c r="A1113" s="2" t="s">
        <v>215</v>
      </c>
      <c r="B1113" s="2" t="s">
        <v>242</v>
      </c>
      <c r="C1113" s="10">
        <v>1</v>
      </c>
    </row>
    <row r="1114" spans="1:3" x14ac:dyDescent="0.3">
      <c r="A1114" s="2" t="s">
        <v>215</v>
      </c>
      <c r="B1114" s="2" t="s">
        <v>247</v>
      </c>
      <c r="C1114" s="10">
        <v>1</v>
      </c>
    </row>
    <row r="1115" spans="1:3" x14ac:dyDescent="0.3">
      <c r="A1115" s="2" t="s">
        <v>215</v>
      </c>
      <c r="B1115" s="2" t="s">
        <v>246</v>
      </c>
      <c r="C1115" s="10">
        <v>4</v>
      </c>
    </row>
    <row r="1116" spans="1:3" x14ac:dyDescent="0.3">
      <c r="A1116" s="2" t="s">
        <v>215</v>
      </c>
      <c r="B1116" s="2" t="s">
        <v>245</v>
      </c>
      <c r="C1116" s="10">
        <v>1</v>
      </c>
    </row>
    <row r="1117" spans="1:3" x14ac:dyDescent="0.3">
      <c r="A1117" s="2" t="s">
        <v>216</v>
      </c>
      <c r="B1117" s="2" t="s">
        <v>245</v>
      </c>
      <c r="C1117" s="10">
        <v>6</v>
      </c>
    </row>
    <row r="1118" spans="1:3" x14ac:dyDescent="0.3">
      <c r="A1118" s="2" t="s">
        <v>216</v>
      </c>
      <c r="B1118" s="2" t="s">
        <v>246</v>
      </c>
      <c r="C1118" s="10">
        <v>2</v>
      </c>
    </row>
    <row r="1119" spans="1:3" x14ac:dyDescent="0.3">
      <c r="A1119" s="2" t="s">
        <v>216</v>
      </c>
      <c r="B1119" s="2" t="s">
        <v>244</v>
      </c>
      <c r="C1119" s="10">
        <v>2</v>
      </c>
    </row>
    <row r="1120" spans="1:3" x14ac:dyDescent="0.3">
      <c r="A1120" s="2" t="s">
        <v>216</v>
      </c>
      <c r="B1120" s="2" t="s">
        <v>247</v>
      </c>
      <c r="C1120" s="10">
        <v>2</v>
      </c>
    </row>
    <row r="1121" spans="1:3" x14ac:dyDescent="0.3">
      <c r="A1121" s="2" t="s">
        <v>216</v>
      </c>
      <c r="B1121" s="2" t="s">
        <v>243</v>
      </c>
      <c r="C1121" s="10">
        <v>1</v>
      </c>
    </row>
    <row r="1122" spans="1:3" x14ac:dyDescent="0.3">
      <c r="A1122" s="2" t="s">
        <v>217</v>
      </c>
      <c r="B1122" s="2" t="s">
        <v>243</v>
      </c>
      <c r="C1122" s="10">
        <v>1</v>
      </c>
    </row>
    <row r="1123" spans="1:3" x14ac:dyDescent="0.3">
      <c r="A1123" s="2" t="s">
        <v>217</v>
      </c>
      <c r="B1123" s="2" t="s">
        <v>245</v>
      </c>
      <c r="C1123" s="10">
        <v>1</v>
      </c>
    </row>
    <row r="1124" spans="1:3" x14ac:dyDescent="0.3">
      <c r="A1124" s="2" t="s">
        <v>217</v>
      </c>
      <c r="B1124" s="2" t="s">
        <v>248</v>
      </c>
      <c r="C1124" s="10">
        <v>1</v>
      </c>
    </row>
    <row r="1125" spans="1:3" x14ac:dyDescent="0.3">
      <c r="A1125" s="2" t="s">
        <v>217</v>
      </c>
      <c r="B1125" s="2" t="s">
        <v>246</v>
      </c>
      <c r="C1125" s="10">
        <v>2</v>
      </c>
    </row>
    <row r="1126" spans="1:3" x14ac:dyDescent="0.3">
      <c r="A1126" s="2" t="s">
        <v>217</v>
      </c>
      <c r="B1126" s="2" t="s">
        <v>244</v>
      </c>
      <c r="C1126" s="10">
        <v>1</v>
      </c>
    </row>
    <row r="1127" spans="1:3" x14ac:dyDescent="0.3">
      <c r="A1127" s="2" t="s">
        <v>218</v>
      </c>
      <c r="B1127" s="2" t="s">
        <v>244</v>
      </c>
      <c r="C1127" s="10">
        <v>1</v>
      </c>
    </row>
    <row r="1128" spans="1:3" x14ac:dyDescent="0.3">
      <c r="A1128" s="2" t="s">
        <v>218</v>
      </c>
      <c r="B1128" s="2" t="s">
        <v>246</v>
      </c>
      <c r="C1128" s="10">
        <v>1</v>
      </c>
    </row>
    <row r="1129" spans="1:3" x14ac:dyDescent="0.3">
      <c r="A1129" s="2" t="s">
        <v>218</v>
      </c>
      <c r="B1129" s="2" t="s">
        <v>245</v>
      </c>
      <c r="C1129" s="10">
        <v>2</v>
      </c>
    </row>
    <row r="1130" spans="1:3" x14ac:dyDescent="0.3">
      <c r="A1130" s="2" t="s">
        <v>218</v>
      </c>
      <c r="B1130" s="2" t="s">
        <v>242</v>
      </c>
      <c r="C1130" s="10">
        <v>1</v>
      </c>
    </row>
    <row r="1131" spans="1:3" x14ac:dyDescent="0.3">
      <c r="A1131" s="2" t="s">
        <v>219</v>
      </c>
      <c r="B1131" s="2" t="s">
        <v>253</v>
      </c>
      <c r="C1131" s="10">
        <v>1</v>
      </c>
    </row>
    <row r="1132" spans="1:3" x14ac:dyDescent="0.3">
      <c r="A1132" s="2" t="s">
        <v>219</v>
      </c>
      <c r="B1132" s="2" t="s">
        <v>247</v>
      </c>
      <c r="C1132" s="10">
        <v>1</v>
      </c>
    </row>
    <row r="1133" spans="1:3" x14ac:dyDescent="0.3">
      <c r="A1133" s="2" t="s">
        <v>220</v>
      </c>
      <c r="B1133" s="2" t="s">
        <v>248</v>
      </c>
      <c r="C1133" s="10">
        <v>1</v>
      </c>
    </row>
    <row r="1134" spans="1:3" x14ac:dyDescent="0.3">
      <c r="A1134" s="2" t="s">
        <v>220</v>
      </c>
      <c r="B1134" s="2" t="s">
        <v>242</v>
      </c>
      <c r="C1134" s="10">
        <v>1</v>
      </c>
    </row>
    <row r="1135" spans="1:3" x14ac:dyDescent="0.3">
      <c r="A1135" s="2" t="s">
        <v>220</v>
      </c>
      <c r="B1135" s="2" t="s">
        <v>246</v>
      </c>
      <c r="C1135" s="10">
        <v>1</v>
      </c>
    </row>
    <row r="1136" spans="1:3" x14ac:dyDescent="0.3">
      <c r="A1136" s="2" t="s">
        <v>221</v>
      </c>
      <c r="B1136" s="2" t="s">
        <v>245</v>
      </c>
      <c r="C1136" s="10">
        <v>5</v>
      </c>
    </row>
    <row r="1137" spans="1:3" x14ac:dyDescent="0.3">
      <c r="A1137" s="2" t="s">
        <v>221</v>
      </c>
      <c r="B1137" s="2" t="s">
        <v>246</v>
      </c>
      <c r="C1137" s="10">
        <v>2</v>
      </c>
    </row>
    <row r="1138" spans="1:3" x14ac:dyDescent="0.3">
      <c r="A1138" s="2" t="s">
        <v>222</v>
      </c>
      <c r="B1138" s="2" t="s">
        <v>247</v>
      </c>
      <c r="C1138" s="10">
        <v>2</v>
      </c>
    </row>
    <row r="1139" spans="1:3" x14ac:dyDescent="0.3">
      <c r="A1139" s="2" t="s">
        <v>222</v>
      </c>
      <c r="B1139" s="2" t="s">
        <v>248</v>
      </c>
      <c r="C1139" s="10">
        <v>1</v>
      </c>
    </row>
    <row r="1140" spans="1:3" x14ac:dyDescent="0.3">
      <c r="A1140" s="2" t="s">
        <v>222</v>
      </c>
      <c r="B1140" s="2" t="s">
        <v>246</v>
      </c>
      <c r="C1140" s="10">
        <v>1</v>
      </c>
    </row>
    <row r="1141" spans="1:3" x14ac:dyDescent="0.3">
      <c r="A1141" s="2" t="s">
        <v>223</v>
      </c>
      <c r="B1141" s="2" t="s">
        <v>246</v>
      </c>
      <c r="C1141" s="10">
        <v>5</v>
      </c>
    </row>
    <row r="1142" spans="1:3" x14ac:dyDescent="0.3">
      <c r="A1142" s="2" t="s">
        <v>223</v>
      </c>
      <c r="B1142" s="2" t="s">
        <v>247</v>
      </c>
      <c r="C1142" s="10">
        <v>1</v>
      </c>
    </row>
    <row r="1143" spans="1:3" x14ac:dyDescent="0.3">
      <c r="A1143" s="2" t="s">
        <v>223</v>
      </c>
      <c r="B1143" s="2" t="s">
        <v>245</v>
      </c>
      <c r="C1143" s="10">
        <v>3</v>
      </c>
    </row>
    <row r="1144" spans="1:3" x14ac:dyDescent="0.3">
      <c r="A1144" s="2" t="s">
        <v>223</v>
      </c>
      <c r="B1144" s="2" t="s">
        <v>242</v>
      </c>
      <c r="C1144" s="10">
        <v>1</v>
      </c>
    </row>
    <row r="1145" spans="1:3" x14ac:dyDescent="0.3">
      <c r="A1145" s="2" t="s">
        <v>224</v>
      </c>
      <c r="B1145" s="2" t="s">
        <v>245</v>
      </c>
      <c r="C1145" s="10">
        <v>1</v>
      </c>
    </row>
    <row r="1146" spans="1:3" x14ac:dyDescent="0.3">
      <c r="A1146" s="2" t="s">
        <v>224</v>
      </c>
      <c r="B1146" s="2" t="s">
        <v>247</v>
      </c>
      <c r="C1146" s="10">
        <v>1</v>
      </c>
    </row>
    <row r="1147" spans="1:3" x14ac:dyDescent="0.3">
      <c r="A1147" s="2" t="s">
        <v>224</v>
      </c>
      <c r="B1147" s="2" t="s">
        <v>252</v>
      </c>
      <c r="C1147" s="10">
        <v>1</v>
      </c>
    </row>
    <row r="1148" spans="1:3" x14ac:dyDescent="0.3">
      <c r="A1148" s="2" t="s">
        <v>224</v>
      </c>
      <c r="B1148" s="2" t="s">
        <v>254</v>
      </c>
      <c r="C1148" s="10">
        <v>3</v>
      </c>
    </row>
    <row r="1149" spans="1:3" x14ac:dyDescent="0.3">
      <c r="A1149" s="2" t="s">
        <v>224</v>
      </c>
      <c r="B1149" s="2" t="s">
        <v>256</v>
      </c>
      <c r="C1149" s="10">
        <v>1</v>
      </c>
    </row>
    <row r="1150" spans="1:3" x14ac:dyDescent="0.3">
      <c r="A1150" s="2" t="s">
        <v>224</v>
      </c>
      <c r="B1150" s="2" t="s">
        <v>244</v>
      </c>
      <c r="C1150" s="10">
        <v>2</v>
      </c>
    </row>
    <row r="1151" spans="1:3" x14ac:dyDescent="0.3">
      <c r="A1151" s="2" t="s">
        <v>225</v>
      </c>
      <c r="B1151" s="2" t="s">
        <v>244</v>
      </c>
      <c r="C1151" s="10">
        <v>2</v>
      </c>
    </row>
    <row r="1152" spans="1:3" x14ac:dyDescent="0.3">
      <c r="A1152" s="2" t="s">
        <v>225</v>
      </c>
      <c r="B1152" s="2" t="s">
        <v>245</v>
      </c>
      <c r="C1152" s="10">
        <v>10</v>
      </c>
    </row>
    <row r="1153" spans="1:3" x14ac:dyDescent="0.3">
      <c r="A1153" s="2" t="s">
        <v>225</v>
      </c>
      <c r="B1153" s="2" t="s">
        <v>246</v>
      </c>
      <c r="C1153" s="10">
        <v>4</v>
      </c>
    </row>
    <row r="1154" spans="1:3" x14ac:dyDescent="0.3">
      <c r="A1154" s="2" t="s">
        <v>225</v>
      </c>
      <c r="B1154" s="2" t="s">
        <v>243</v>
      </c>
      <c r="C1154" s="10">
        <v>1</v>
      </c>
    </row>
    <row r="1155" spans="1:3" x14ac:dyDescent="0.3">
      <c r="A1155" s="2" t="s">
        <v>225</v>
      </c>
      <c r="B1155" s="2" t="s">
        <v>247</v>
      </c>
      <c r="C1155" s="10">
        <v>1</v>
      </c>
    </row>
    <row r="1156" spans="1:3" x14ac:dyDescent="0.3">
      <c r="A1156" s="2" t="s">
        <v>226</v>
      </c>
      <c r="B1156" s="2" t="s">
        <v>246</v>
      </c>
      <c r="C1156" s="10">
        <v>4</v>
      </c>
    </row>
    <row r="1157" spans="1:3" x14ac:dyDescent="0.3">
      <c r="A1157" s="2" t="s">
        <v>200</v>
      </c>
      <c r="B1157" s="2" t="s">
        <v>245</v>
      </c>
      <c r="C1157" s="10">
        <v>19</v>
      </c>
    </row>
    <row r="1158" spans="1:3" x14ac:dyDescent="0.3">
      <c r="A1158" s="2" t="s">
        <v>200</v>
      </c>
      <c r="B1158" s="2" t="s">
        <v>254</v>
      </c>
      <c r="C1158" s="10">
        <v>61</v>
      </c>
    </row>
    <row r="1159" spans="1:3" x14ac:dyDescent="0.3">
      <c r="A1159" s="2" t="s">
        <v>200</v>
      </c>
      <c r="B1159" s="2" t="s">
        <v>244</v>
      </c>
      <c r="C1159" s="10">
        <v>17</v>
      </c>
    </row>
    <row r="1160" spans="1:3" x14ac:dyDescent="0.3">
      <c r="A1160" s="2" t="s">
        <v>200</v>
      </c>
      <c r="B1160" s="2" t="s">
        <v>247</v>
      </c>
      <c r="C1160" s="10">
        <v>3</v>
      </c>
    </row>
    <row r="1161" spans="1:3" x14ac:dyDescent="0.3">
      <c r="A1161" s="2" t="s">
        <v>200</v>
      </c>
      <c r="B1161" s="2" t="s">
        <v>256</v>
      </c>
      <c r="C1161" s="10">
        <v>1</v>
      </c>
    </row>
    <row r="1162" spans="1:3" x14ac:dyDescent="0.3">
      <c r="A1162" s="2" t="s">
        <v>200</v>
      </c>
      <c r="B1162" s="2" t="s">
        <v>250</v>
      </c>
      <c r="C1162" s="10">
        <v>1</v>
      </c>
    </row>
    <row r="1163" spans="1:3" x14ac:dyDescent="0.3">
      <c r="A1163" s="2" t="s">
        <v>200</v>
      </c>
      <c r="B1163" s="2" t="s">
        <v>246</v>
      </c>
      <c r="C1163" s="10">
        <v>1</v>
      </c>
    </row>
    <row r="1164" spans="1:3" x14ac:dyDescent="0.3">
      <c r="A1164" s="2" t="s">
        <v>200</v>
      </c>
      <c r="B1164" s="2" t="s">
        <v>248</v>
      </c>
      <c r="C1164" s="10">
        <v>1</v>
      </c>
    </row>
    <row r="1165" spans="1:3" x14ac:dyDescent="0.3">
      <c r="A1165" s="2" t="s">
        <v>227</v>
      </c>
      <c r="B1165" s="2" t="s">
        <v>245</v>
      </c>
      <c r="C1165" s="10">
        <v>30</v>
      </c>
    </row>
    <row r="1166" spans="1:3" x14ac:dyDescent="0.3">
      <c r="A1166" s="2" t="s">
        <v>227</v>
      </c>
      <c r="B1166" s="2" t="s">
        <v>243</v>
      </c>
      <c r="C1166" s="10">
        <v>1</v>
      </c>
    </row>
    <row r="1167" spans="1:3" x14ac:dyDescent="0.3">
      <c r="A1167" s="2" t="s">
        <v>227</v>
      </c>
      <c r="B1167" s="2" t="s">
        <v>248</v>
      </c>
      <c r="C1167" s="10">
        <v>1</v>
      </c>
    </row>
    <row r="1168" spans="1:3" x14ac:dyDescent="0.3">
      <c r="A1168" s="2" t="s">
        <v>227</v>
      </c>
      <c r="B1168" s="2" t="s">
        <v>254</v>
      </c>
      <c r="C1168" s="10">
        <v>37</v>
      </c>
    </row>
    <row r="1169" spans="1:3" x14ac:dyDescent="0.3">
      <c r="A1169" s="2" t="s">
        <v>227</v>
      </c>
      <c r="B1169" s="2" t="s">
        <v>247</v>
      </c>
      <c r="C1169" s="10">
        <v>2</v>
      </c>
    </row>
    <row r="1170" spans="1:3" x14ac:dyDescent="0.3">
      <c r="A1170" s="2" t="s">
        <v>227</v>
      </c>
      <c r="B1170" s="2" t="s">
        <v>244</v>
      </c>
      <c r="C1170" s="10">
        <v>5</v>
      </c>
    </row>
    <row r="1171" spans="1:3" x14ac:dyDescent="0.3">
      <c r="A1171" s="2" t="s">
        <v>227</v>
      </c>
      <c r="B1171" s="2" t="s">
        <v>252</v>
      </c>
      <c r="C1171" s="10">
        <v>2</v>
      </c>
    </row>
    <row r="1172" spans="1:3" x14ac:dyDescent="0.3">
      <c r="A1172" s="2" t="s">
        <v>227</v>
      </c>
      <c r="B1172" s="2" t="s">
        <v>256</v>
      </c>
      <c r="C1172" s="10">
        <v>1</v>
      </c>
    </row>
    <row r="1173" spans="1:3" x14ac:dyDescent="0.3">
      <c r="A1173" s="2" t="s">
        <v>227</v>
      </c>
      <c r="B1173" s="2" t="s">
        <v>253</v>
      </c>
      <c r="C1173" s="10">
        <v>2</v>
      </c>
    </row>
    <row r="1174" spans="1:3" x14ac:dyDescent="0.3">
      <c r="A1174" s="2" t="s">
        <v>228</v>
      </c>
      <c r="B1174" s="2" t="s">
        <v>247</v>
      </c>
      <c r="C1174" s="10">
        <v>1</v>
      </c>
    </row>
    <row r="1175" spans="1:3" x14ac:dyDescent="0.3">
      <c r="A1175" s="2" t="s">
        <v>228</v>
      </c>
      <c r="B1175" s="2" t="s">
        <v>245</v>
      </c>
      <c r="C1175" s="10">
        <v>1</v>
      </c>
    </row>
    <row r="1176" spans="1:3" x14ac:dyDescent="0.3">
      <c r="A1176" s="2" t="s">
        <v>228</v>
      </c>
      <c r="B1176" s="2" t="s">
        <v>246</v>
      </c>
      <c r="C1176" s="10">
        <v>1</v>
      </c>
    </row>
    <row r="1177" spans="1:3" x14ac:dyDescent="0.3">
      <c r="A1177" s="2" t="s">
        <v>229</v>
      </c>
      <c r="B1177" s="2" t="s">
        <v>246</v>
      </c>
      <c r="C1177" s="10">
        <v>4</v>
      </c>
    </row>
    <row r="1178" spans="1:3" x14ac:dyDescent="0.3">
      <c r="A1178" s="2" t="s">
        <v>229</v>
      </c>
      <c r="B1178" s="2" t="s">
        <v>245</v>
      </c>
      <c r="C1178" s="10">
        <v>5</v>
      </c>
    </row>
    <row r="1179" spans="1:3" x14ac:dyDescent="0.3">
      <c r="A1179" s="2" t="s">
        <v>229</v>
      </c>
      <c r="B1179" s="2" t="s">
        <v>242</v>
      </c>
      <c r="C1179" s="10">
        <v>1</v>
      </c>
    </row>
    <row r="1180" spans="1:3" x14ac:dyDescent="0.3">
      <c r="A1180" s="2" t="s">
        <v>229</v>
      </c>
      <c r="B1180" s="2" t="s">
        <v>247</v>
      </c>
      <c r="C1180" s="10">
        <v>1</v>
      </c>
    </row>
    <row r="1181" spans="1:3" x14ac:dyDescent="0.3">
      <c r="A1181" s="2" t="s">
        <v>229</v>
      </c>
      <c r="B1181" s="2" t="s">
        <v>244</v>
      </c>
      <c r="C1181" s="10">
        <v>1</v>
      </c>
    </row>
    <row r="1182" spans="1:3" x14ac:dyDescent="0.3">
      <c r="A1182" s="2" t="s">
        <v>230</v>
      </c>
      <c r="B1182" s="2" t="s">
        <v>245</v>
      </c>
      <c r="C1182" s="10">
        <v>11</v>
      </c>
    </row>
    <row r="1183" spans="1:3" x14ac:dyDescent="0.3">
      <c r="A1183" s="2" t="s">
        <v>230</v>
      </c>
      <c r="B1183" s="2" t="s">
        <v>246</v>
      </c>
      <c r="C1183" s="10">
        <v>8</v>
      </c>
    </row>
    <row r="1184" spans="1:3" x14ac:dyDescent="0.3">
      <c r="A1184" s="2" t="s">
        <v>230</v>
      </c>
      <c r="B1184" s="2" t="s">
        <v>242</v>
      </c>
      <c r="C1184" s="10">
        <v>1</v>
      </c>
    </row>
    <row r="1185" spans="1:3" x14ac:dyDescent="0.3">
      <c r="A1185" s="2" t="s">
        <v>230</v>
      </c>
      <c r="B1185" s="2" t="s">
        <v>247</v>
      </c>
      <c r="C1185" s="10">
        <v>3</v>
      </c>
    </row>
    <row r="1186" spans="1:3" x14ac:dyDescent="0.3">
      <c r="A1186" s="2" t="s">
        <v>231</v>
      </c>
      <c r="B1186" s="2" t="s">
        <v>247</v>
      </c>
      <c r="C1186" s="10">
        <v>1</v>
      </c>
    </row>
    <row r="1187" spans="1:3" x14ac:dyDescent="0.3">
      <c r="A1187" s="2" t="s">
        <v>231</v>
      </c>
      <c r="B1187" s="2" t="s">
        <v>242</v>
      </c>
      <c r="C1187" s="10">
        <v>1</v>
      </c>
    </row>
    <row r="1188" spans="1:3" x14ac:dyDescent="0.3">
      <c r="A1188" s="2" t="s">
        <v>231</v>
      </c>
      <c r="B1188" s="2" t="s">
        <v>246</v>
      </c>
      <c r="C1188" s="10">
        <v>1</v>
      </c>
    </row>
    <row r="1189" spans="1:3" x14ac:dyDescent="0.3">
      <c r="A1189" s="2" t="s">
        <v>231</v>
      </c>
      <c r="B1189" s="2" t="s">
        <v>244</v>
      </c>
      <c r="C1189" s="10">
        <v>1</v>
      </c>
    </row>
    <row r="1190" spans="1:3" x14ac:dyDescent="0.3">
      <c r="A1190" s="2" t="s">
        <v>231</v>
      </c>
      <c r="B1190" s="2" t="s">
        <v>245</v>
      </c>
      <c r="C1190" s="10">
        <v>1</v>
      </c>
    </row>
    <row r="1191" spans="1:3" x14ac:dyDescent="0.3">
      <c r="A1191" s="2" t="s">
        <v>232</v>
      </c>
      <c r="B1191" s="2" t="s">
        <v>246</v>
      </c>
      <c r="C1191" s="10">
        <v>5</v>
      </c>
    </row>
    <row r="1192" spans="1:3" x14ac:dyDescent="0.3">
      <c r="A1192" s="2" t="s">
        <v>232</v>
      </c>
      <c r="B1192" s="2" t="s">
        <v>250</v>
      </c>
      <c r="C1192" s="10">
        <v>1</v>
      </c>
    </row>
    <row r="1193" spans="1:3" x14ac:dyDescent="0.3">
      <c r="A1193" s="2" t="s">
        <v>232</v>
      </c>
      <c r="B1193" s="2" t="s">
        <v>245</v>
      </c>
      <c r="C1193" s="10">
        <v>2</v>
      </c>
    </row>
    <row r="1194" spans="1:3" x14ac:dyDescent="0.3">
      <c r="A1194" s="2" t="s">
        <v>232</v>
      </c>
      <c r="B1194" s="2" t="s">
        <v>247</v>
      </c>
      <c r="C1194" s="10">
        <v>4</v>
      </c>
    </row>
    <row r="1195" spans="1:3" x14ac:dyDescent="0.3">
      <c r="A1195" s="2" t="s">
        <v>232</v>
      </c>
      <c r="B1195" s="2" t="s">
        <v>248</v>
      </c>
      <c r="C1195" s="10">
        <v>1</v>
      </c>
    </row>
    <row r="1196" spans="1:3" x14ac:dyDescent="0.3">
      <c r="A1196" s="2" t="s">
        <v>233</v>
      </c>
      <c r="B1196" s="2" t="s">
        <v>246</v>
      </c>
      <c r="C1196" s="10">
        <v>2</v>
      </c>
    </row>
    <row r="1197" spans="1:3" x14ac:dyDescent="0.3">
      <c r="A1197" s="2" t="s">
        <v>233</v>
      </c>
      <c r="B1197" s="2" t="s">
        <v>245</v>
      </c>
      <c r="C1197" s="10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EC64-FEB5-45A4-99C4-7BC22882C6BE}">
  <dimension ref="A1:I245"/>
  <sheetViews>
    <sheetView tabSelected="1" topLeftCell="A26" workbookViewId="0">
      <selection activeCell="F52" sqref="F52"/>
    </sheetView>
  </sheetViews>
  <sheetFormatPr defaultRowHeight="14.4" x14ac:dyDescent="0.3"/>
  <cols>
    <col min="1" max="1" width="26.88671875" bestFit="1" customWidth="1"/>
    <col min="2" max="2" width="26.88671875" customWidth="1"/>
    <col min="3" max="3" width="12.6640625" style="12" bestFit="1" customWidth="1"/>
    <col min="4" max="4" width="10.21875" customWidth="1"/>
    <col min="5" max="5" width="14.6640625" customWidth="1"/>
    <col min="6" max="6" width="26.33203125" customWidth="1"/>
    <col min="7" max="7" width="18.88671875" customWidth="1"/>
    <col min="8" max="8" width="8.88671875" customWidth="1"/>
  </cols>
  <sheetData>
    <row r="1" spans="1:9" x14ac:dyDescent="0.3">
      <c r="A1" t="s">
        <v>237</v>
      </c>
      <c r="B1" t="s">
        <v>238</v>
      </c>
      <c r="C1" s="12" t="s">
        <v>239</v>
      </c>
      <c r="D1" s="1" t="s">
        <v>281</v>
      </c>
      <c r="F1" s="5" t="s">
        <v>257</v>
      </c>
      <c r="G1" s="6">
        <f>AVERAGE(C2:C245)</f>
        <v>73.5</v>
      </c>
      <c r="H1" s="14"/>
    </row>
    <row r="2" spans="1:9" x14ac:dyDescent="0.3">
      <c r="B2" t="s">
        <v>236</v>
      </c>
      <c r="F2" s="5" t="s">
        <v>258</v>
      </c>
      <c r="G2" s="6">
        <f>MEDIAN(C3:C246)</f>
        <v>73.5</v>
      </c>
      <c r="H2" s="14"/>
    </row>
    <row r="3" spans="1:9" x14ac:dyDescent="0.3">
      <c r="A3" t="s">
        <v>236</v>
      </c>
      <c r="F3" s="5" t="s">
        <v>259</v>
      </c>
      <c r="G3" s="7">
        <f>_xlfn.MODE.SNGL(C2:C245)</f>
        <v>75</v>
      </c>
      <c r="H3" s="15"/>
    </row>
    <row r="4" spans="1:9" x14ac:dyDescent="0.3">
      <c r="F4" s="5" t="s">
        <v>260</v>
      </c>
      <c r="G4" s="7">
        <f>_xlfn.VAR.P(C2:C245)</f>
        <v>754.06196581196582</v>
      </c>
      <c r="H4" s="15"/>
    </row>
    <row r="5" spans="1:9" x14ac:dyDescent="0.3">
      <c r="C5" s="12" t="s">
        <v>236</v>
      </c>
      <c r="F5" s="5" t="s">
        <v>261</v>
      </c>
      <c r="G5" s="7">
        <f>_xlfn.STDEV.P(C2:C245)</f>
        <v>27.460188743196319</v>
      </c>
      <c r="H5" s="15"/>
    </row>
    <row r="6" spans="1:9" x14ac:dyDescent="0.3">
      <c r="A6" t="s">
        <v>235</v>
      </c>
      <c r="C6" s="12" t="s">
        <v>234</v>
      </c>
      <c r="F6" s="5" t="s">
        <v>262</v>
      </c>
      <c r="G6" s="8">
        <f>_xlfn.QUARTILE.INC(C2:C245,3)-_xlfn.QUARTILE.INC(C2:C245,1)</f>
        <v>46.75</v>
      </c>
      <c r="H6" s="16"/>
    </row>
    <row r="7" spans="1:9" x14ac:dyDescent="0.3">
      <c r="F7" s="4" t="s">
        <v>263</v>
      </c>
      <c r="G7" s="3"/>
    </row>
    <row r="8" spans="1:9" x14ac:dyDescent="0.3">
      <c r="A8" t="s">
        <v>58</v>
      </c>
      <c r="C8" s="12">
        <v>31</v>
      </c>
      <c r="D8" t="str">
        <f t="shared" ref="D8:D72" si="0">IF(OR(C8&lt;$G$24,C8&gt;$G$25),"Outlier","Normale")</f>
        <v>Normale</v>
      </c>
      <c r="E8" s="4"/>
      <c r="F8" s="3"/>
    </row>
    <row r="9" spans="1:9" x14ac:dyDescent="0.3">
      <c r="A9" t="s">
        <v>0</v>
      </c>
      <c r="C9" s="12">
        <v>75</v>
      </c>
      <c r="D9" t="str">
        <f t="shared" si="0"/>
        <v>Normale</v>
      </c>
      <c r="F9" s="9" t="s">
        <v>275</v>
      </c>
      <c r="G9" s="5" t="s">
        <v>276</v>
      </c>
    </row>
    <row r="10" spans="1:9" x14ac:dyDescent="0.3">
      <c r="A10" t="s">
        <v>1</v>
      </c>
      <c r="C10" s="12">
        <v>77</v>
      </c>
      <c r="D10" t="str">
        <f t="shared" si="0"/>
        <v>Normale</v>
      </c>
      <c r="F10" s="9" t="s">
        <v>265</v>
      </c>
      <c r="G10" s="7">
        <f>COUNTIFS($C$7:$C$245,"&gt;=0",$C$7:$C$245,"&lt;20")</f>
        <v>0</v>
      </c>
      <c r="H10" s="11" t="s">
        <v>272</v>
      </c>
      <c r="I10" s="10">
        <f>MAX(Tabella1[Colonna3])</f>
        <v>120</v>
      </c>
    </row>
    <row r="11" spans="1:9" x14ac:dyDescent="0.3">
      <c r="A11" t="s">
        <v>2</v>
      </c>
      <c r="C11" s="12">
        <v>93</v>
      </c>
      <c r="D11" t="str">
        <f t="shared" si="0"/>
        <v>Normale</v>
      </c>
      <c r="F11" s="9" t="s">
        <v>266</v>
      </c>
      <c r="G11" s="7">
        <f>COUNTIFS($C$7:$C$245,"&gt;=20",$C$7:$C$245,"&lt;40")</f>
        <v>35</v>
      </c>
    </row>
    <row r="12" spans="1:9" x14ac:dyDescent="0.3">
      <c r="A12" t="s">
        <v>3</v>
      </c>
      <c r="C12" s="12">
        <v>83</v>
      </c>
      <c r="D12" t="str">
        <f t="shared" si="0"/>
        <v>Normale</v>
      </c>
      <c r="F12" s="9" t="s">
        <v>267</v>
      </c>
      <c r="G12" s="7">
        <f>COUNTIFS($C$7:$C$245,"&gt;=40",$C$7:$C$245,"&lt;60")</f>
        <v>52</v>
      </c>
    </row>
    <row r="13" spans="1:9" x14ac:dyDescent="0.3">
      <c r="A13" t="s">
        <v>4</v>
      </c>
      <c r="C13" s="12">
        <v>49</v>
      </c>
      <c r="D13" t="str">
        <f t="shared" si="0"/>
        <v>Normale</v>
      </c>
      <c r="F13" s="9" t="s">
        <v>268</v>
      </c>
      <c r="G13" s="7">
        <f>COUNTIFS($C$7:$C$245,"&gt;=60",$C$7:$C$245,"&lt;80")</f>
        <v>51</v>
      </c>
    </row>
    <row r="14" spans="1:9" x14ac:dyDescent="0.3">
      <c r="A14" t="s">
        <v>5</v>
      </c>
      <c r="C14" s="12">
        <v>58</v>
      </c>
      <c r="D14" t="str">
        <f t="shared" si="0"/>
        <v>Normale</v>
      </c>
      <c r="F14" s="9" t="s">
        <v>269</v>
      </c>
      <c r="G14" s="7">
        <f>COUNTIFS($C$7:$C$245,"&gt;=80",$C$7:$C$245,"&lt;100")</f>
        <v>39</v>
      </c>
    </row>
    <row r="15" spans="1:9" x14ac:dyDescent="0.3">
      <c r="A15" t="s">
        <v>6</v>
      </c>
      <c r="C15" s="12">
        <v>64</v>
      </c>
      <c r="D15" t="str">
        <f t="shared" si="0"/>
        <v>Normale</v>
      </c>
      <c r="F15" s="9" t="s">
        <v>270</v>
      </c>
      <c r="G15" s="7">
        <f>COUNTIFS($C$7:$C$245,"&gt;=100",$C$7:$C$245,"&lt;120")</f>
        <v>52</v>
      </c>
    </row>
    <row r="16" spans="1:9" x14ac:dyDescent="0.3">
      <c r="A16" t="s">
        <v>8</v>
      </c>
      <c r="C16" s="12">
        <v>106</v>
      </c>
      <c r="D16" t="str">
        <f t="shared" si="0"/>
        <v>Normale</v>
      </c>
      <c r="F16" s="9" t="s">
        <v>271</v>
      </c>
      <c r="G16" s="7">
        <f>COUNTIFS($C$7:$C$245,"&gt;=120",$C$7:$C$245,"&lt;140")</f>
        <v>5</v>
      </c>
    </row>
    <row r="17" spans="1:7" x14ac:dyDescent="0.3">
      <c r="A17" t="s">
        <v>9</v>
      </c>
      <c r="C17" s="12">
        <v>118</v>
      </c>
      <c r="D17" t="str">
        <f t="shared" si="0"/>
        <v>Normale</v>
      </c>
      <c r="E17" s="4"/>
      <c r="G17" s="10">
        <f>SUM(G10:G16)</f>
        <v>234</v>
      </c>
    </row>
    <row r="18" spans="1:7" x14ac:dyDescent="0.3">
      <c r="A18" t="s">
        <v>10</v>
      </c>
      <c r="C18" s="12">
        <v>36</v>
      </c>
      <c r="D18" t="str">
        <f t="shared" si="0"/>
        <v>Normale</v>
      </c>
      <c r="F18" s="4" t="s">
        <v>274</v>
      </c>
      <c r="G18" s="11" t="s">
        <v>273</v>
      </c>
    </row>
    <row r="19" spans="1:7" x14ac:dyDescent="0.3">
      <c r="A19" t="s">
        <v>11</v>
      </c>
      <c r="C19" s="12">
        <v>120</v>
      </c>
      <c r="D19" t="str">
        <f t="shared" si="0"/>
        <v>Normale</v>
      </c>
      <c r="E19" s="4"/>
    </row>
    <row r="20" spans="1:7" x14ac:dyDescent="0.3">
      <c r="A20" t="s">
        <v>13</v>
      </c>
      <c r="C20" s="12">
        <v>88</v>
      </c>
      <c r="D20" t="str">
        <f t="shared" si="0"/>
        <v>Normale</v>
      </c>
      <c r="E20" s="4"/>
    </row>
    <row r="21" spans="1:7" x14ac:dyDescent="0.3">
      <c r="A21" t="s">
        <v>14</v>
      </c>
      <c r="C21" s="12">
        <v>66</v>
      </c>
      <c r="D21" t="str">
        <f t="shared" si="0"/>
        <v>Normale</v>
      </c>
      <c r="F21" s="5" t="s">
        <v>262</v>
      </c>
      <c r="G21" s="8">
        <f>_xlfn.QUARTILE.INC(C2:C245,3)-_xlfn.QUARTILE.INC(C2:C245,1)</f>
        <v>46.75</v>
      </c>
    </row>
    <row r="22" spans="1:7" x14ac:dyDescent="0.3">
      <c r="D22" t="str">
        <f t="shared" si="0"/>
        <v>Normale</v>
      </c>
      <c r="F22" s="9" t="s">
        <v>277</v>
      </c>
      <c r="G22" s="7">
        <f>_xlfn.QUARTILE.INC(C2:C245,1)</f>
        <v>50.25</v>
      </c>
    </row>
    <row r="23" spans="1:7" x14ac:dyDescent="0.3">
      <c r="A23" t="s">
        <v>15</v>
      </c>
      <c r="C23" s="12">
        <v>119</v>
      </c>
      <c r="D23" t="str">
        <f t="shared" si="0"/>
        <v>Normale</v>
      </c>
      <c r="F23" s="9" t="s">
        <v>278</v>
      </c>
      <c r="G23" s="7">
        <f>_xlfn.QUARTILE.INC(C2:C245,3)</f>
        <v>97</v>
      </c>
    </row>
    <row r="24" spans="1:7" x14ac:dyDescent="0.3">
      <c r="A24" t="s">
        <v>16</v>
      </c>
      <c r="C24" s="12">
        <v>52</v>
      </c>
      <c r="D24" t="str">
        <f t="shared" si="0"/>
        <v>Normale</v>
      </c>
      <c r="F24" s="9" t="s">
        <v>279</v>
      </c>
      <c r="G24" s="13">
        <f>_xlfn.QUARTILE.INC(C2:C245,1)-1.5*G21</f>
        <v>-19.875</v>
      </c>
    </row>
    <row r="25" spans="1:7" x14ac:dyDescent="0.3">
      <c r="A25" t="s">
        <v>7</v>
      </c>
      <c r="C25" s="12">
        <v>75</v>
      </c>
      <c r="D25" t="str">
        <f t="shared" si="0"/>
        <v>Normale</v>
      </c>
      <c r="F25" s="9" t="s">
        <v>280</v>
      </c>
      <c r="G25" s="13">
        <f>_xlfn.QUARTILE.INC(C2:C245,3)+1.5*G21</f>
        <v>167.125</v>
      </c>
    </row>
    <row r="26" spans="1:7" x14ac:dyDescent="0.3">
      <c r="A26" t="s">
        <v>18</v>
      </c>
      <c r="C26" s="12">
        <v>112</v>
      </c>
      <c r="D26" t="str">
        <f t="shared" si="0"/>
        <v>Normale</v>
      </c>
      <c r="F26" s="5" t="s">
        <v>261</v>
      </c>
      <c r="G26" s="7">
        <f>_xlfn.STDEV.P(C23:C266)</f>
        <v>27.498052147394485</v>
      </c>
    </row>
    <row r="27" spans="1:7" x14ac:dyDescent="0.3">
      <c r="A27" t="s">
        <v>20</v>
      </c>
      <c r="C27" s="12">
        <v>87</v>
      </c>
      <c r="D27" t="str">
        <f t="shared" si="0"/>
        <v>Normale</v>
      </c>
      <c r="F27" s="11" t="s">
        <v>282</v>
      </c>
    </row>
    <row r="28" spans="1:7" x14ac:dyDescent="0.3">
      <c r="A28" t="s">
        <v>21</v>
      </c>
      <c r="C28" s="12">
        <v>46</v>
      </c>
      <c r="D28" t="str">
        <f t="shared" si="0"/>
        <v>Normale</v>
      </c>
    </row>
    <row r="29" spans="1:7" x14ac:dyDescent="0.3">
      <c r="A29" t="s">
        <v>22</v>
      </c>
      <c r="C29" s="12">
        <v>36</v>
      </c>
      <c r="D29" t="str">
        <f t="shared" si="0"/>
        <v>Normale</v>
      </c>
    </row>
    <row r="30" spans="1:7" x14ac:dyDescent="0.3">
      <c r="A30" t="s">
        <v>23</v>
      </c>
      <c r="C30" s="12">
        <v>32</v>
      </c>
      <c r="D30" t="str">
        <f t="shared" si="0"/>
        <v>Normale</v>
      </c>
      <c r="F30" s="9" t="s">
        <v>291</v>
      </c>
      <c r="G30" s="9" t="s">
        <v>290</v>
      </c>
    </row>
    <row r="31" spans="1:7" x14ac:dyDescent="0.3">
      <c r="A31" t="s">
        <v>24</v>
      </c>
      <c r="C31" s="12">
        <v>85</v>
      </c>
      <c r="D31" t="str">
        <f t="shared" si="0"/>
        <v>Normale</v>
      </c>
      <c r="F31" s="6">
        <f>G1-G5</f>
        <v>46.039811256803681</v>
      </c>
      <c r="G31" s="6">
        <f>G1+G5</f>
        <v>100.96018874319631</v>
      </c>
    </row>
    <row r="32" spans="1:7" x14ac:dyDescent="0.3">
      <c r="A32" t="s">
        <v>25</v>
      </c>
      <c r="C32" s="12">
        <v>120</v>
      </c>
      <c r="D32" t="str">
        <f t="shared" si="0"/>
        <v>Normale</v>
      </c>
      <c r="F32" s="9" t="s">
        <v>292</v>
      </c>
      <c r="G32" s="9" t="s">
        <v>293</v>
      </c>
    </row>
    <row r="33" spans="1:8" x14ac:dyDescent="0.3">
      <c r="A33" t="s">
        <v>26</v>
      </c>
      <c r="C33" s="12">
        <v>39</v>
      </c>
      <c r="D33" t="str">
        <f t="shared" si="0"/>
        <v>Normale</v>
      </c>
      <c r="F33" s="6">
        <f>G1-(2*G5)</f>
        <v>18.579622513607362</v>
      </c>
      <c r="G33" s="6">
        <f>G1+(2*G5)</f>
        <v>128.42037748639262</v>
      </c>
    </row>
    <row r="34" spans="1:8" ht="15" x14ac:dyDescent="0.35">
      <c r="D34" t="str">
        <f t="shared" si="0"/>
        <v>Normale</v>
      </c>
      <c r="F34" s="19" t="s">
        <v>297</v>
      </c>
      <c r="G34" s="20" t="s">
        <v>296</v>
      </c>
    </row>
    <row r="35" spans="1:8" x14ac:dyDescent="0.3">
      <c r="A35" t="s">
        <v>27</v>
      </c>
      <c r="C35" s="12">
        <v>116</v>
      </c>
      <c r="D35" t="str">
        <f t="shared" si="0"/>
        <v>Normale</v>
      </c>
      <c r="F35" s="7">
        <f>COUNTIFS(C8:C245,"&gt;="&amp;F31,C8:C245,"&lt;="&amp;G31)</f>
        <v>130</v>
      </c>
      <c r="G35" s="7">
        <f>COUNTIFS(C8:C245,"&gt;="&amp;F33,C8:C245,"&lt;="&amp;G33)</f>
        <v>234</v>
      </c>
    </row>
    <row r="36" spans="1:8" x14ac:dyDescent="0.3">
      <c r="A36" t="s">
        <v>12</v>
      </c>
      <c r="C36" s="12">
        <v>64</v>
      </c>
      <c r="D36" t="str">
        <f t="shared" si="0"/>
        <v>Normale</v>
      </c>
      <c r="F36" s="5" t="s">
        <v>294</v>
      </c>
      <c r="G36" s="5" t="s">
        <v>295</v>
      </c>
    </row>
    <row r="37" spans="1:8" x14ac:dyDescent="0.3">
      <c r="A37" t="s">
        <v>28</v>
      </c>
      <c r="C37" s="12">
        <v>46</v>
      </c>
      <c r="D37" t="str">
        <f t="shared" si="0"/>
        <v>Normale</v>
      </c>
      <c r="F37" s="21">
        <f>130/234</f>
        <v>0.55555555555555558</v>
      </c>
      <c r="G37" s="22">
        <f>234/234</f>
        <v>1</v>
      </c>
    </row>
    <row r="38" spans="1:8" x14ac:dyDescent="0.3">
      <c r="A38" t="s">
        <v>29</v>
      </c>
      <c r="C38" s="12">
        <v>78</v>
      </c>
      <c r="D38" t="str">
        <f t="shared" si="0"/>
        <v>Normale</v>
      </c>
      <c r="F38" s="11" t="s">
        <v>298</v>
      </c>
    </row>
    <row r="39" spans="1:8" x14ac:dyDescent="0.3">
      <c r="A39" t="s">
        <v>30</v>
      </c>
      <c r="C39" s="12">
        <v>48</v>
      </c>
      <c r="D39" t="str">
        <f t="shared" si="0"/>
        <v>Normale</v>
      </c>
    </row>
    <row r="40" spans="1:8" x14ac:dyDescent="0.3">
      <c r="A40" t="s">
        <v>31</v>
      </c>
      <c r="C40" s="12">
        <v>51</v>
      </c>
      <c r="D40" t="str">
        <f t="shared" si="0"/>
        <v>Normale</v>
      </c>
    </row>
    <row r="41" spans="1:8" x14ac:dyDescent="0.3">
      <c r="A41" t="s">
        <v>32</v>
      </c>
      <c r="C41" s="12">
        <v>61</v>
      </c>
      <c r="D41" t="str">
        <f t="shared" si="0"/>
        <v>Normale</v>
      </c>
      <c r="F41" s="5" t="s">
        <v>58</v>
      </c>
      <c r="G41" s="23">
        <v>31</v>
      </c>
    </row>
    <row r="42" spans="1:8" x14ac:dyDescent="0.3">
      <c r="A42" t="s">
        <v>33</v>
      </c>
      <c r="C42" s="12">
        <v>107</v>
      </c>
      <c r="D42" t="str">
        <f t="shared" si="0"/>
        <v>Normale</v>
      </c>
      <c r="F42" s="5" t="s">
        <v>299</v>
      </c>
      <c r="G42" s="8">
        <f>(C8-G1)/G5</f>
        <v>-1.547695115916857</v>
      </c>
    </row>
    <row r="43" spans="1:8" x14ac:dyDescent="0.3">
      <c r="A43" t="s">
        <v>34</v>
      </c>
      <c r="C43" s="12">
        <v>49</v>
      </c>
      <c r="D43" t="str">
        <f t="shared" si="0"/>
        <v>Normale</v>
      </c>
      <c r="F43" s="9" t="s">
        <v>300</v>
      </c>
      <c r="G43" s="24">
        <f>_xlfn.NORM.S.DIST(G42,TRUE)</f>
        <v>6.0847859279643916E-2</v>
      </c>
    </row>
    <row r="44" spans="1:8" x14ac:dyDescent="0.3">
      <c r="A44" t="s">
        <v>35</v>
      </c>
      <c r="C44" s="12">
        <v>120</v>
      </c>
      <c r="D44" t="str">
        <f t="shared" si="0"/>
        <v>Normale</v>
      </c>
      <c r="F44" s="11" t="s">
        <v>301</v>
      </c>
    </row>
    <row r="45" spans="1:8" x14ac:dyDescent="0.3">
      <c r="A45" t="s">
        <v>36</v>
      </c>
      <c r="C45" s="12">
        <v>119</v>
      </c>
      <c r="D45" t="str">
        <f t="shared" si="0"/>
        <v>Normale</v>
      </c>
    </row>
    <row r="46" spans="1:8" x14ac:dyDescent="0.3">
      <c r="A46" t="s">
        <v>37</v>
      </c>
      <c r="C46" s="12">
        <v>85</v>
      </c>
      <c r="D46" t="str">
        <f t="shared" si="0"/>
        <v>Normale</v>
      </c>
      <c r="F46" s="25" t="s">
        <v>302</v>
      </c>
      <c r="G46" s="13">
        <f>(G1-G48)</f>
        <v>69.953956716954622</v>
      </c>
      <c r="H46" s="1"/>
    </row>
    <row r="47" spans="1:8" x14ac:dyDescent="0.3">
      <c r="D47" s="2" t="str">
        <f>IF(OR(C47&lt;$G$24,C47&gt;$G$25),"Outlier","Normale")</f>
        <v>Normale</v>
      </c>
      <c r="F47" s="29"/>
      <c r="G47" s="28">
        <f>(G1+G48)</f>
        <v>77.046043283045378</v>
      </c>
      <c r="H47" s="1"/>
    </row>
    <row r="48" spans="1:8" x14ac:dyDescent="0.3">
      <c r="A48" t="s">
        <v>38</v>
      </c>
      <c r="C48" s="12">
        <v>109</v>
      </c>
      <c r="D48" t="str">
        <f t="shared" si="0"/>
        <v>Normale</v>
      </c>
      <c r="F48" s="29" t="s">
        <v>304</v>
      </c>
      <c r="G48" s="27">
        <f>_xlfn.CONFIDENCE.NORM(0.05,G26,G49)</f>
        <v>3.5460432830453774</v>
      </c>
    </row>
    <row r="49" spans="1:7" x14ac:dyDescent="0.3">
      <c r="A49" t="s">
        <v>39</v>
      </c>
      <c r="C49" s="12">
        <v>35</v>
      </c>
      <c r="D49" t="str">
        <f t="shared" si="0"/>
        <v>Normale</v>
      </c>
      <c r="F49" s="5" t="s">
        <v>305</v>
      </c>
      <c r="G49" s="7">
        <f>COUNT(C8:C242)</f>
        <v>231</v>
      </c>
    </row>
    <row r="50" spans="1:7" x14ac:dyDescent="0.3">
      <c r="A50" t="s">
        <v>19</v>
      </c>
      <c r="C50" s="12">
        <v>86</v>
      </c>
      <c r="D50" t="str">
        <f t="shared" si="0"/>
        <v>Normale</v>
      </c>
      <c r="F50" s="5" t="s">
        <v>303</v>
      </c>
      <c r="G50" s="26" t="s">
        <v>306</v>
      </c>
    </row>
    <row r="51" spans="1:7" x14ac:dyDescent="0.3">
      <c r="A51" t="s">
        <v>40</v>
      </c>
      <c r="C51" s="12">
        <v>78</v>
      </c>
      <c r="D51" t="str">
        <f t="shared" si="0"/>
        <v>Normale</v>
      </c>
    </row>
    <row r="52" spans="1:7" x14ac:dyDescent="0.3">
      <c r="D52" t="str">
        <f t="shared" si="0"/>
        <v>Normale</v>
      </c>
    </row>
    <row r="53" spans="1:7" x14ac:dyDescent="0.3">
      <c r="A53" t="s">
        <v>41</v>
      </c>
      <c r="C53" s="12">
        <v>39</v>
      </c>
      <c r="D53" t="str">
        <f t="shared" si="0"/>
        <v>Normale</v>
      </c>
    </row>
    <row r="54" spans="1:7" x14ac:dyDescent="0.3">
      <c r="A54" t="s">
        <v>42</v>
      </c>
      <c r="C54" s="12">
        <v>58</v>
      </c>
      <c r="D54" t="str">
        <f t="shared" si="0"/>
        <v>Normale</v>
      </c>
    </row>
    <row r="55" spans="1:7" x14ac:dyDescent="0.3">
      <c r="A55" t="s">
        <v>43</v>
      </c>
      <c r="C55" s="12">
        <v>119</v>
      </c>
      <c r="D55" t="str">
        <f t="shared" si="0"/>
        <v>Normale</v>
      </c>
    </row>
    <row r="56" spans="1:7" x14ac:dyDescent="0.3">
      <c r="A56" t="s">
        <v>44</v>
      </c>
      <c r="C56" s="12">
        <v>117</v>
      </c>
      <c r="D56" t="str">
        <f t="shared" si="0"/>
        <v>Normale</v>
      </c>
    </row>
    <row r="57" spans="1:7" x14ac:dyDescent="0.3">
      <c r="A57" t="s">
        <v>45</v>
      </c>
      <c r="C57" s="12">
        <v>56</v>
      </c>
      <c r="D57" t="str">
        <f t="shared" si="0"/>
        <v>Normale</v>
      </c>
    </row>
    <row r="58" spans="1:7" x14ac:dyDescent="0.3">
      <c r="A58" t="s">
        <v>46</v>
      </c>
      <c r="C58" s="12">
        <v>78</v>
      </c>
      <c r="D58" t="str">
        <f t="shared" si="0"/>
        <v>Normale</v>
      </c>
    </row>
    <row r="59" spans="1:7" x14ac:dyDescent="0.3">
      <c r="A59" t="s">
        <v>47</v>
      </c>
      <c r="C59" s="12">
        <v>71</v>
      </c>
      <c r="D59" t="str">
        <f t="shared" si="0"/>
        <v>Normale</v>
      </c>
    </row>
    <row r="60" spans="1:7" x14ac:dyDescent="0.3">
      <c r="A60" t="s">
        <v>48</v>
      </c>
      <c r="C60" s="12">
        <v>95</v>
      </c>
      <c r="D60" t="str">
        <f t="shared" si="0"/>
        <v>Normale</v>
      </c>
    </row>
    <row r="61" spans="1:7" x14ac:dyDescent="0.3">
      <c r="A61" t="s">
        <v>49</v>
      </c>
      <c r="C61" s="12">
        <v>33</v>
      </c>
      <c r="D61" t="str">
        <f t="shared" si="0"/>
        <v>Normale</v>
      </c>
    </row>
    <row r="62" spans="1:7" x14ac:dyDescent="0.3">
      <c r="A62" t="s">
        <v>50</v>
      </c>
      <c r="C62" s="12">
        <v>56</v>
      </c>
      <c r="D62" t="str">
        <f t="shared" si="0"/>
        <v>Normale</v>
      </c>
    </row>
    <row r="63" spans="1:7" x14ac:dyDescent="0.3">
      <c r="A63" t="s">
        <v>51</v>
      </c>
      <c r="C63" s="12">
        <v>38</v>
      </c>
      <c r="D63" t="str">
        <f t="shared" si="0"/>
        <v>Normale</v>
      </c>
    </row>
    <row r="64" spans="1:7" x14ac:dyDescent="0.3">
      <c r="A64" t="s">
        <v>52</v>
      </c>
      <c r="C64" s="12">
        <v>90</v>
      </c>
      <c r="D64" t="str">
        <f t="shared" si="0"/>
        <v>Normale</v>
      </c>
    </row>
    <row r="65" spans="1:4" x14ac:dyDescent="0.3">
      <c r="A65" t="s">
        <v>53</v>
      </c>
      <c r="C65" s="12">
        <v>66</v>
      </c>
      <c r="D65" t="str">
        <f t="shared" si="0"/>
        <v>Normale</v>
      </c>
    </row>
    <row r="66" spans="1:4" x14ac:dyDescent="0.3">
      <c r="A66" t="s">
        <v>54</v>
      </c>
      <c r="C66" s="12">
        <v>34</v>
      </c>
      <c r="D66" t="str">
        <f t="shared" si="0"/>
        <v>Normale</v>
      </c>
    </row>
    <row r="67" spans="1:4" x14ac:dyDescent="0.3">
      <c r="A67" t="s">
        <v>55</v>
      </c>
      <c r="C67" s="12">
        <v>103</v>
      </c>
      <c r="D67" t="str">
        <f t="shared" si="0"/>
        <v>Normale</v>
      </c>
    </row>
    <row r="68" spans="1:4" x14ac:dyDescent="0.3">
      <c r="A68" t="s">
        <v>56</v>
      </c>
      <c r="C68" s="12">
        <v>120</v>
      </c>
      <c r="D68" t="str">
        <f t="shared" si="0"/>
        <v>Normale</v>
      </c>
    </row>
    <row r="69" spans="1:4" x14ac:dyDescent="0.3">
      <c r="A69" t="s">
        <v>57</v>
      </c>
      <c r="C69" s="12">
        <v>72</v>
      </c>
      <c r="D69" t="str">
        <f t="shared" si="0"/>
        <v>Normale</v>
      </c>
    </row>
    <row r="70" spans="1:4" x14ac:dyDescent="0.3">
      <c r="A70" t="s">
        <v>59</v>
      </c>
      <c r="C70" s="12">
        <v>39</v>
      </c>
      <c r="D70" t="str">
        <f t="shared" si="0"/>
        <v>Normale</v>
      </c>
    </row>
    <row r="71" spans="1:4" x14ac:dyDescent="0.3">
      <c r="A71" t="s">
        <v>60</v>
      </c>
      <c r="C71" s="12">
        <v>81</v>
      </c>
      <c r="D71" t="str">
        <f t="shared" si="0"/>
        <v>Normale</v>
      </c>
    </row>
    <row r="72" spans="1:4" x14ac:dyDescent="0.3">
      <c r="A72" t="s">
        <v>17</v>
      </c>
      <c r="C72" s="12">
        <v>34</v>
      </c>
      <c r="D72" t="str">
        <f t="shared" si="0"/>
        <v>Normale</v>
      </c>
    </row>
    <row r="73" spans="1:4" x14ac:dyDescent="0.3">
      <c r="A73" t="s">
        <v>63</v>
      </c>
      <c r="C73" s="12">
        <v>49</v>
      </c>
      <c r="D73" t="str">
        <f t="shared" ref="D73:D136" si="1">IF(OR(C73&lt;$G$24,C73&gt;$G$25),"Outlier","Normale")</f>
        <v>Normale</v>
      </c>
    </row>
    <row r="74" spans="1:4" x14ac:dyDescent="0.3">
      <c r="A74" t="s">
        <v>65</v>
      </c>
      <c r="C74" s="12">
        <v>52</v>
      </c>
      <c r="D74" t="str">
        <f t="shared" si="1"/>
        <v>Normale</v>
      </c>
    </row>
    <row r="75" spans="1:4" x14ac:dyDescent="0.3">
      <c r="A75" t="s">
        <v>66</v>
      </c>
      <c r="C75" s="12">
        <v>43</v>
      </c>
      <c r="D75" t="str">
        <f t="shared" si="1"/>
        <v>Normale</v>
      </c>
    </row>
    <row r="76" spans="1:4" x14ac:dyDescent="0.3">
      <c r="A76" t="s">
        <v>67</v>
      </c>
      <c r="C76" s="12">
        <v>55</v>
      </c>
      <c r="D76" t="str">
        <f t="shared" si="1"/>
        <v>Normale</v>
      </c>
    </row>
    <row r="77" spans="1:4" x14ac:dyDescent="0.3">
      <c r="A77" t="s">
        <v>68</v>
      </c>
      <c r="C77" s="12">
        <v>108</v>
      </c>
      <c r="D77" t="str">
        <f t="shared" si="1"/>
        <v>Normale</v>
      </c>
    </row>
    <row r="78" spans="1:4" x14ac:dyDescent="0.3">
      <c r="A78" t="s">
        <v>69</v>
      </c>
      <c r="C78" s="12">
        <v>37</v>
      </c>
      <c r="D78" t="str">
        <f t="shared" si="1"/>
        <v>Normale</v>
      </c>
    </row>
    <row r="79" spans="1:4" x14ac:dyDescent="0.3">
      <c r="A79" t="s">
        <v>70</v>
      </c>
      <c r="C79" s="12">
        <v>65</v>
      </c>
      <c r="D79" t="str">
        <f t="shared" si="1"/>
        <v>Normale</v>
      </c>
    </row>
    <row r="80" spans="1:4" x14ac:dyDescent="0.3">
      <c r="A80" t="s">
        <v>71</v>
      </c>
      <c r="C80" s="12">
        <v>78</v>
      </c>
      <c r="D80" t="str">
        <f t="shared" si="1"/>
        <v>Normale</v>
      </c>
    </row>
    <row r="81" spans="1:4" x14ac:dyDescent="0.3">
      <c r="A81" t="s">
        <v>72</v>
      </c>
      <c r="C81" s="12">
        <v>115</v>
      </c>
      <c r="D81" t="str">
        <f t="shared" si="1"/>
        <v>Normale</v>
      </c>
    </row>
    <row r="82" spans="1:4" x14ac:dyDescent="0.3">
      <c r="A82" t="s">
        <v>73</v>
      </c>
      <c r="C82" s="12">
        <v>52</v>
      </c>
      <c r="D82" t="str">
        <f t="shared" si="1"/>
        <v>Normale</v>
      </c>
    </row>
    <row r="83" spans="1:4" x14ac:dyDescent="0.3">
      <c r="A83" t="s">
        <v>74</v>
      </c>
      <c r="C83" s="12">
        <v>75</v>
      </c>
      <c r="D83" t="str">
        <f t="shared" si="1"/>
        <v>Normale</v>
      </c>
    </row>
    <row r="84" spans="1:4" x14ac:dyDescent="0.3">
      <c r="A84" t="s">
        <v>75</v>
      </c>
      <c r="C84" s="12">
        <v>39</v>
      </c>
      <c r="D84" t="str">
        <f t="shared" si="1"/>
        <v>Normale</v>
      </c>
    </row>
    <row r="85" spans="1:4" x14ac:dyDescent="0.3">
      <c r="A85" t="s">
        <v>76</v>
      </c>
      <c r="C85" s="12">
        <v>40</v>
      </c>
      <c r="D85" t="str">
        <f t="shared" si="1"/>
        <v>Normale</v>
      </c>
    </row>
    <row r="86" spans="1:4" x14ac:dyDescent="0.3">
      <c r="A86" t="s">
        <v>62</v>
      </c>
      <c r="C86" s="12">
        <v>34</v>
      </c>
      <c r="D86" t="str">
        <f t="shared" si="1"/>
        <v>Normale</v>
      </c>
    </row>
    <row r="87" spans="1:4" x14ac:dyDescent="0.3">
      <c r="A87" t="s">
        <v>77</v>
      </c>
      <c r="C87" s="12">
        <v>60</v>
      </c>
      <c r="D87" t="str">
        <f t="shared" si="1"/>
        <v>Normale</v>
      </c>
    </row>
    <row r="88" spans="1:4" x14ac:dyDescent="0.3">
      <c r="A88" t="s">
        <v>78</v>
      </c>
      <c r="C88" s="12">
        <v>93</v>
      </c>
      <c r="D88" t="str">
        <f t="shared" si="1"/>
        <v>Normale</v>
      </c>
    </row>
    <row r="89" spans="1:4" x14ac:dyDescent="0.3">
      <c r="A89" t="s">
        <v>79</v>
      </c>
      <c r="C89" s="12">
        <v>120</v>
      </c>
      <c r="D89" t="str">
        <f t="shared" si="1"/>
        <v>Normale</v>
      </c>
    </row>
    <row r="90" spans="1:4" x14ac:dyDescent="0.3">
      <c r="A90" t="s">
        <v>80</v>
      </c>
      <c r="C90" s="12">
        <v>81</v>
      </c>
      <c r="D90" t="str">
        <f t="shared" si="1"/>
        <v>Normale</v>
      </c>
    </row>
    <row r="91" spans="1:4" x14ac:dyDescent="0.3">
      <c r="A91" t="s">
        <v>81</v>
      </c>
      <c r="C91" s="12">
        <v>33</v>
      </c>
      <c r="D91" t="str">
        <f t="shared" si="1"/>
        <v>Normale</v>
      </c>
    </row>
    <row r="92" spans="1:4" x14ac:dyDescent="0.3">
      <c r="A92" t="s">
        <v>82</v>
      </c>
      <c r="C92" s="12">
        <v>73</v>
      </c>
      <c r="D92" t="str">
        <f t="shared" si="1"/>
        <v>Normale</v>
      </c>
    </row>
    <row r="93" spans="1:4" x14ac:dyDescent="0.3">
      <c r="A93" t="s">
        <v>83</v>
      </c>
      <c r="C93" s="12">
        <v>41</v>
      </c>
      <c r="D93" t="str">
        <f t="shared" si="1"/>
        <v>Normale</v>
      </c>
    </row>
    <row r="94" spans="1:4" x14ac:dyDescent="0.3">
      <c r="A94" t="s">
        <v>84</v>
      </c>
      <c r="C94" s="12">
        <v>58</v>
      </c>
      <c r="D94" t="str">
        <f t="shared" si="1"/>
        <v>Normale</v>
      </c>
    </row>
    <row r="95" spans="1:4" x14ac:dyDescent="0.3">
      <c r="A95" t="s">
        <v>85</v>
      </c>
      <c r="C95" s="12">
        <v>37</v>
      </c>
      <c r="D95" t="str">
        <f t="shared" si="1"/>
        <v>Normale</v>
      </c>
    </row>
    <row r="96" spans="1:4" x14ac:dyDescent="0.3">
      <c r="A96" t="s">
        <v>86</v>
      </c>
      <c r="C96" s="12">
        <v>68</v>
      </c>
      <c r="D96" t="str">
        <f t="shared" si="1"/>
        <v>Normale</v>
      </c>
    </row>
    <row r="97" spans="1:4" x14ac:dyDescent="0.3">
      <c r="A97" t="s">
        <v>87</v>
      </c>
      <c r="C97" s="12">
        <v>74</v>
      </c>
      <c r="D97" t="str">
        <f t="shared" si="1"/>
        <v>Normale</v>
      </c>
    </row>
    <row r="98" spans="1:4" x14ac:dyDescent="0.3">
      <c r="A98" t="s">
        <v>88</v>
      </c>
      <c r="C98" s="12">
        <v>116</v>
      </c>
      <c r="D98" t="str">
        <f t="shared" si="1"/>
        <v>Normale</v>
      </c>
    </row>
    <row r="99" spans="1:4" x14ac:dyDescent="0.3">
      <c r="A99" t="s">
        <v>89</v>
      </c>
      <c r="C99" s="12">
        <v>87</v>
      </c>
      <c r="D99" t="str">
        <f t="shared" si="1"/>
        <v>Normale</v>
      </c>
    </row>
    <row r="100" spans="1:4" x14ac:dyDescent="0.3">
      <c r="A100" t="s">
        <v>90</v>
      </c>
      <c r="C100" s="12">
        <v>65</v>
      </c>
      <c r="D100" t="str">
        <f t="shared" si="1"/>
        <v>Normale</v>
      </c>
    </row>
    <row r="101" spans="1:4" x14ac:dyDescent="0.3">
      <c r="A101" t="s">
        <v>91</v>
      </c>
      <c r="C101" s="12">
        <v>32</v>
      </c>
      <c r="D101" t="str">
        <f t="shared" si="1"/>
        <v>Normale</v>
      </c>
    </row>
    <row r="102" spans="1:4" x14ac:dyDescent="0.3">
      <c r="A102" t="s">
        <v>92</v>
      </c>
      <c r="C102" s="12">
        <v>101</v>
      </c>
      <c r="D102" t="str">
        <f t="shared" si="1"/>
        <v>Normale</v>
      </c>
    </row>
    <row r="103" spans="1:4" x14ac:dyDescent="0.3">
      <c r="A103" t="s">
        <v>93</v>
      </c>
      <c r="C103" s="12">
        <v>59</v>
      </c>
      <c r="D103" t="str">
        <f t="shared" si="1"/>
        <v>Normale</v>
      </c>
    </row>
    <row r="104" spans="1:4" x14ac:dyDescent="0.3">
      <c r="A104" t="s">
        <v>94</v>
      </c>
      <c r="C104" s="12">
        <v>38</v>
      </c>
      <c r="D104" t="str">
        <f t="shared" si="1"/>
        <v>Normale</v>
      </c>
    </row>
    <row r="105" spans="1:4" x14ac:dyDescent="0.3">
      <c r="A105" t="s">
        <v>95</v>
      </c>
      <c r="C105" s="12">
        <v>119</v>
      </c>
      <c r="D105" t="str">
        <f t="shared" si="1"/>
        <v>Normale</v>
      </c>
    </row>
    <row r="106" spans="1:4" x14ac:dyDescent="0.3">
      <c r="A106" t="s">
        <v>96</v>
      </c>
      <c r="C106" s="12">
        <v>79</v>
      </c>
      <c r="D106" t="str">
        <f t="shared" si="1"/>
        <v>Normale</v>
      </c>
    </row>
    <row r="107" spans="1:4" x14ac:dyDescent="0.3">
      <c r="A107" t="s">
        <v>97</v>
      </c>
      <c r="C107" s="12">
        <v>61</v>
      </c>
      <c r="D107" t="str">
        <f t="shared" si="1"/>
        <v>Normale</v>
      </c>
    </row>
    <row r="108" spans="1:4" x14ac:dyDescent="0.3">
      <c r="A108" t="s">
        <v>98</v>
      </c>
      <c r="C108" s="12">
        <v>57</v>
      </c>
      <c r="D108" t="str">
        <f t="shared" si="1"/>
        <v>Normale</v>
      </c>
    </row>
    <row r="109" spans="1:4" x14ac:dyDescent="0.3">
      <c r="A109" t="s">
        <v>99</v>
      </c>
      <c r="C109" s="12">
        <v>75</v>
      </c>
      <c r="D109" t="str">
        <f t="shared" si="1"/>
        <v>Normale</v>
      </c>
    </row>
    <row r="110" spans="1:4" x14ac:dyDescent="0.3">
      <c r="A110" t="s">
        <v>100</v>
      </c>
      <c r="C110" s="12">
        <v>54</v>
      </c>
      <c r="D110" t="str">
        <f t="shared" si="1"/>
        <v>Normale</v>
      </c>
    </row>
    <row r="111" spans="1:4" x14ac:dyDescent="0.3">
      <c r="A111" t="s">
        <v>101</v>
      </c>
      <c r="C111" s="12">
        <v>59</v>
      </c>
      <c r="D111" t="str">
        <f t="shared" si="1"/>
        <v>Normale</v>
      </c>
    </row>
    <row r="112" spans="1:4" x14ac:dyDescent="0.3">
      <c r="A112" t="s">
        <v>102</v>
      </c>
      <c r="C112" s="12">
        <v>54</v>
      </c>
      <c r="D112" t="str">
        <f t="shared" si="1"/>
        <v>Normale</v>
      </c>
    </row>
    <row r="113" spans="1:4" x14ac:dyDescent="0.3">
      <c r="A113" t="s">
        <v>103</v>
      </c>
      <c r="C113" s="12">
        <v>51</v>
      </c>
      <c r="D113" t="str">
        <f t="shared" si="1"/>
        <v>Normale</v>
      </c>
    </row>
    <row r="114" spans="1:4" x14ac:dyDescent="0.3">
      <c r="A114" t="s">
        <v>104</v>
      </c>
      <c r="C114" s="12">
        <v>50</v>
      </c>
      <c r="D114" t="str">
        <f t="shared" si="1"/>
        <v>Normale</v>
      </c>
    </row>
    <row r="115" spans="1:4" x14ac:dyDescent="0.3">
      <c r="A115" t="s">
        <v>105</v>
      </c>
      <c r="C115" s="12">
        <v>49</v>
      </c>
      <c r="D115" t="str">
        <f t="shared" si="1"/>
        <v>Normale</v>
      </c>
    </row>
    <row r="116" spans="1:4" x14ac:dyDescent="0.3">
      <c r="A116" t="s">
        <v>106</v>
      </c>
      <c r="C116" s="12">
        <v>115</v>
      </c>
      <c r="D116" t="str">
        <f t="shared" si="1"/>
        <v>Normale</v>
      </c>
    </row>
    <row r="117" spans="1:4" x14ac:dyDescent="0.3">
      <c r="A117" t="s">
        <v>107</v>
      </c>
      <c r="C117" s="12">
        <v>100</v>
      </c>
      <c r="D117" t="str">
        <f t="shared" si="1"/>
        <v>Normale</v>
      </c>
    </row>
    <row r="118" spans="1:4" x14ac:dyDescent="0.3">
      <c r="A118" t="s">
        <v>108</v>
      </c>
      <c r="C118" s="12">
        <v>50</v>
      </c>
      <c r="D118" t="str">
        <f t="shared" si="1"/>
        <v>Normale</v>
      </c>
    </row>
    <row r="119" spans="1:4" x14ac:dyDescent="0.3">
      <c r="A119" t="s">
        <v>109</v>
      </c>
      <c r="C119" s="12">
        <v>44</v>
      </c>
      <c r="D119" t="str">
        <f t="shared" si="1"/>
        <v>Normale</v>
      </c>
    </row>
    <row r="120" spans="1:4" x14ac:dyDescent="0.3">
      <c r="A120" t="s">
        <v>110</v>
      </c>
      <c r="C120" s="12">
        <v>42</v>
      </c>
      <c r="D120" t="str">
        <f t="shared" si="1"/>
        <v>Normale</v>
      </c>
    </row>
    <row r="121" spans="1:4" x14ac:dyDescent="0.3">
      <c r="A121" t="s">
        <v>111</v>
      </c>
      <c r="C121" s="12">
        <v>33</v>
      </c>
      <c r="D121" t="str">
        <f t="shared" si="1"/>
        <v>Normale</v>
      </c>
    </row>
    <row r="122" spans="1:4" x14ac:dyDescent="0.3">
      <c r="A122" t="s">
        <v>112</v>
      </c>
      <c r="C122" s="12">
        <v>88</v>
      </c>
      <c r="D122" t="str">
        <f t="shared" si="1"/>
        <v>Normale</v>
      </c>
    </row>
    <row r="123" spans="1:4" x14ac:dyDescent="0.3">
      <c r="A123" t="s">
        <v>113</v>
      </c>
      <c r="C123" s="12">
        <v>116</v>
      </c>
      <c r="D123" t="str">
        <f t="shared" si="1"/>
        <v>Normale</v>
      </c>
    </row>
    <row r="124" spans="1:4" x14ac:dyDescent="0.3">
      <c r="A124" t="s">
        <v>114</v>
      </c>
      <c r="C124" s="12">
        <v>32</v>
      </c>
      <c r="D124" t="str">
        <f t="shared" si="1"/>
        <v>Normale</v>
      </c>
    </row>
    <row r="125" spans="1:4" x14ac:dyDescent="0.3">
      <c r="A125" t="s">
        <v>115</v>
      </c>
      <c r="C125" s="12">
        <v>31</v>
      </c>
      <c r="D125" t="str">
        <f t="shared" si="1"/>
        <v>Normale</v>
      </c>
    </row>
    <row r="126" spans="1:4" x14ac:dyDescent="0.3">
      <c r="A126" t="s">
        <v>116</v>
      </c>
      <c r="C126" s="12">
        <v>76</v>
      </c>
      <c r="D126" t="str">
        <f t="shared" si="1"/>
        <v>Normale</v>
      </c>
    </row>
    <row r="127" spans="1:4" x14ac:dyDescent="0.3">
      <c r="A127" t="s">
        <v>117</v>
      </c>
      <c r="C127" s="12">
        <v>76</v>
      </c>
      <c r="D127" t="str">
        <f t="shared" si="1"/>
        <v>Normale</v>
      </c>
    </row>
    <row r="128" spans="1:4" x14ac:dyDescent="0.3">
      <c r="A128" t="s">
        <v>118</v>
      </c>
      <c r="C128" s="12">
        <v>40</v>
      </c>
      <c r="D128" t="str">
        <f t="shared" si="1"/>
        <v>Normale</v>
      </c>
    </row>
    <row r="129" spans="1:4" x14ac:dyDescent="0.3">
      <c r="A129" t="s">
        <v>119</v>
      </c>
      <c r="C129" s="12">
        <v>103</v>
      </c>
      <c r="D129" t="str">
        <f t="shared" si="1"/>
        <v>Normale</v>
      </c>
    </row>
    <row r="130" spans="1:4" x14ac:dyDescent="0.3">
      <c r="A130" t="s">
        <v>120</v>
      </c>
      <c r="C130" s="12">
        <v>72</v>
      </c>
      <c r="D130" t="str">
        <f t="shared" si="1"/>
        <v>Normale</v>
      </c>
    </row>
    <row r="131" spans="1:4" x14ac:dyDescent="0.3">
      <c r="A131" t="s">
        <v>121</v>
      </c>
      <c r="C131" s="12">
        <v>91</v>
      </c>
      <c r="D131" t="str">
        <f t="shared" si="1"/>
        <v>Normale</v>
      </c>
    </row>
    <row r="132" spans="1:4" x14ac:dyDescent="0.3">
      <c r="A132" t="s">
        <v>122</v>
      </c>
      <c r="C132" s="12">
        <v>32</v>
      </c>
      <c r="D132" t="str">
        <f t="shared" si="1"/>
        <v>Normale</v>
      </c>
    </row>
    <row r="133" spans="1:4" x14ac:dyDescent="0.3">
      <c r="A133" t="s">
        <v>123</v>
      </c>
      <c r="C133" s="12">
        <v>118</v>
      </c>
      <c r="D133" t="str">
        <f t="shared" si="1"/>
        <v>Normale</v>
      </c>
    </row>
    <row r="134" spans="1:4" x14ac:dyDescent="0.3">
      <c r="A134" t="s">
        <v>124</v>
      </c>
      <c r="C134" s="12">
        <v>97</v>
      </c>
      <c r="D134" t="str">
        <f t="shared" si="1"/>
        <v>Normale</v>
      </c>
    </row>
    <row r="135" spans="1:4" x14ac:dyDescent="0.3">
      <c r="A135" t="s">
        <v>125</v>
      </c>
      <c r="C135" s="12">
        <v>30</v>
      </c>
      <c r="D135" t="str">
        <f t="shared" si="1"/>
        <v>Normale</v>
      </c>
    </row>
    <row r="136" spans="1:4" x14ac:dyDescent="0.3">
      <c r="A136" t="s">
        <v>126</v>
      </c>
      <c r="C136" s="12">
        <v>106</v>
      </c>
      <c r="D136" t="str">
        <f t="shared" si="1"/>
        <v>Normale</v>
      </c>
    </row>
    <row r="137" spans="1:4" x14ac:dyDescent="0.3">
      <c r="A137" t="s">
        <v>127</v>
      </c>
      <c r="C137" s="12">
        <v>108</v>
      </c>
      <c r="D137" t="str">
        <f t="shared" ref="D137:D200" si="2">IF(OR(C137&lt;$G$24,C137&gt;$G$25),"Outlier","Normale")</f>
        <v>Normale</v>
      </c>
    </row>
    <row r="138" spans="1:4" x14ac:dyDescent="0.3">
      <c r="A138" t="s">
        <v>128</v>
      </c>
      <c r="C138" s="12">
        <v>53</v>
      </c>
      <c r="D138" t="str">
        <f t="shared" si="2"/>
        <v>Normale</v>
      </c>
    </row>
    <row r="139" spans="1:4" x14ac:dyDescent="0.3">
      <c r="A139" t="s">
        <v>129</v>
      </c>
      <c r="C139" s="12">
        <v>57</v>
      </c>
      <c r="D139" t="str">
        <f t="shared" si="2"/>
        <v>Normale</v>
      </c>
    </row>
    <row r="140" spans="1:4" x14ac:dyDescent="0.3">
      <c r="A140" t="s">
        <v>130</v>
      </c>
      <c r="C140" s="12">
        <v>97</v>
      </c>
      <c r="D140" t="str">
        <f t="shared" si="2"/>
        <v>Normale</v>
      </c>
    </row>
    <row r="141" spans="1:4" x14ac:dyDescent="0.3">
      <c r="A141" t="s">
        <v>131</v>
      </c>
      <c r="C141" s="12">
        <v>69</v>
      </c>
      <c r="D141" t="str">
        <f t="shared" si="2"/>
        <v>Normale</v>
      </c>
    </row>
    <row r="142" spans="1:4" x14ac:dyDescent="0.3">
      <c r="A142" t="s">
        <v>132</v>
      </c>
      <c r="C142" s="12">
        <v>108</v>
      </c>
      <c r="D142" t="str">
        <f t="shared" si="2"/>
        <v>Normale</v>
      </c>
    </row>
    <row r="143" spans="1:4" x14ac:dyDescent="0.3">
      <c r="A143" t="s">
        <v>133</v>
      </c>
      <c r="C143" s="12">
        <v>35</v>
      </c>
      <c r="D143" t="str">
        <f t="shared" si="2"/>
        <v>Normale</v>
      </c>
    </row>
    <row r="144" spans="1:4" x14ac:dyDescent="0.3">
      <c r="A144" t="s">
        <v>134</v>
      </c>
      <c r="C144" s="12">
        <v>30</v>
      </c>
      <c r="D144" t="str">
        <f t="shared" si="2"/>
        <v>Normale</v>
      </c>
    </row>
    <row r="145" spans="1:4" x14ac:dyDescent="0.3">
      <c r="A145" t="s">
        <v>135</v>
      </c>
      <c r="C145" s="12">
        <v>49</v>
      </c>
      <c r="D145" t="str">
        <f t="shared" si="2"/>
        <v>Normale</v>
      </c>
    </row>
    <row r="146" spans="1:4" x14ac:dyDescent="0.3">
      <c r="A146" t="s">
        <v>136</v>
      </c>
      <c r="C146" s="12">
        <v>59</v>
      </c>
      <c r="D146" t="str">
        <f t="shared" si="2"/>
        <v>Normale</v>
      </c>
    </row>
    <row r="147" spans="1:4" x14ac:dyDescent="0.3">
      <c r="A147" t="s">
        <v>137</v>
      </c>
      <c r="C147" s="12">
        <v>58</v>
      </c>
      <c r="D147" t="str">
        <f t="shared" si="2"/>
        <v>Normale</v>
      </c>
    </row>
    <row r="148" spans="1:4" x14ac:dyDescent="0.3">
      <c r="A148" t="s">
        <v>138</v>
      </c>
      <c r="C148" s="12">
        <v>46</v>
      </c>
      <c r="D148" t="str">
        <f t="shared" si="2"/>
        <v>Normale</v>
      </c>
    </row>
    <row r="149" spans="1:4" x14ac:dyDescent="0.3">
      <c r="A149" t="s">
        <v>139</v>
      </c>
      <c r="C149" s="12">
        <v>89</v>
      </c>
      <c r="D149" t="str">
        <f t="shared" si="2"/>
        <v>Normale</v>
      </c>
    </row>
    <row r="150" spans="1:4" x14ac:dyDescent="0.3">
      <c r="A150" t="s">
        <v>140</v>
      </c>
      <c r="C150" s="12">
        <v>30</v>
      </c>
      <c r="D150" t="str">
        <f t="shared" si="2"/>
        <v>Normale</v>
      </c>
    </row>
    <row r="151" spans="1:4" x14ac:dyDescent="0.3">
      <c r="A151" t="s">
        <v>141</v>
      </c>
      <c r="C151" s="12">
        <v>103</v>
      </c>
      <c r="D151" t="str">
        <f t="shared" si="2"/>
        <v>Normale</v>
      </c>
    </row>
    <row r="152" spans="1:4" x14ac:dyDescent="0.3">
      <c r="A152" t="s">
        <v>142</v>
      </c>
      <c r="C152" s="12">
        <v>117</v>
      </c>
      <c r="D152" t="str">
        <f t="shared" si="2"/>
        <v>Normale</v>
      </c>
    </row>
    <row r="153" spans="1:4" x14ac:dyDescent="0.3">
      <c r="A153" t="s">
        <v>143</v>
      </c>
      <c r="C153" s="12">
        <v>53</v>
      </c>
      <c r="D153" t="str">
        <f t="shared" si="2"/>
        <v>Normale</v>
      </c>
    </row>
    <row r="154" spans="1:4" x14ac:dyDescent="0.3">
      <c r="A154" t="s">
        <v>144</v>
      </c>
      <c r="C154" s="12">
        <v>66</v>
      </c>
      <c r="D154" t="str">
        <f t="shared" si="2"/>
        <v>Normale</v>
      </c>
    </row>
    <row r="155" spans="1:4" x14ac:dyDescent="0.3">
      <c r="A155" t="s">
        <v>145</v>
      </c>
      <c r="C155" s="12">
        <v>114</v>
      </c>
      <c r="D155" t="str">
        <f t="shared" si="2"/>
        <v>Normale</v>
      </c>
    </row>
    <row r="156" spans="1:4" x14ac:dyDescent="0.3">
      <c r="A156" t="s">
        <v>146</v>
      </c>
      <c r="C156" s="12">
        <v>39</v>
      </c>
      <c r="D156" t="str">
        <f t="shared" si="2"/>
        <v>Normale</v>
      </c>
    </row>
    <row r="157" spans="1:4" x14ac:dyDescent="0.3">
      <c r="A157" t="s">
        <v>147</v>
      </c>
      <c r="C157" s="12">
        <v>69</v>
      </c>
      <c r="D157" t="str">
        <f t="shared" si="2"/>
        <v>Normale</v>
      </c>
    </row>
    <row r="158" spans="1:4" x14ac:dyDescent="0.3">
      <c r="A158" t="s">
        <v>148</v>
      </c>
      <c r="C158" s="12">
        <v>106</v>
      </c>
      <c r="D158" t="str">
        <f t="shared" si="2"/>
        <v>Normale</v>
      </c>
    </row>
    <row r="159" spans="1:4" x14ac:dyDescent="0.3">
      <c r="A159" t="s">
        <v>149</v>
      </c>
      <c r="C159" s="12">
        <v>93</v>
      </c>
      <c r="D159" t="str">
        <f t="shared" si="2"/>
        <v>Normale</v>
      </c>
    </row>
    <row r="160" spans="1:4" x14ac:dyDescent="0.3">
      <c r="A160" t="s">
        <v>150</v>
      </c>
      <c r="C160" s="12">
        <v>46</v>
      </c>
      <c r="D160" t="str">
        <f t="shared" si="2"/>
        <v>Normale</v>
      </c>
    </row>
    <row r="161" spans="1:4" x14ac:dyDescent="0.3">
      <c r="A161" t="s">
        <v>64</v>
      </c>
      <c r="C161" s="12">
        <v>103</v>
      </c>
      <c r="D161" t="str">
        <f t="shared" si="2"/>
        <v>Normale</v>
      </c>
    </row>
    <row r="162" spans="1:4" x14ac:dyDescent="0.3">
      <c r="A162" t="s">
        <v>151</v>
      </c>
      <c r="C162" s="12">
        <v>115</v>
      </c>
      <c r="D162" t="str">
        <f t="shared" si="2"/>
        <v>Normale</v>
      </c>
    </row>
    <row r="163" spans="1:4" x14ac:dyDescent="0.3">
      <c r="A163" t="s">
        <v>152</v>
      </c>
      <c r="C163" s="12">
        <v>104</v>
      </c>
      <c r="D163" t="str">
        <f t="shared" si="2"/>
        <v>Normale</v>
      </c>
    </row>
    <row r="164" spans="1:4" x14ac:dyDescent="0.3">
      <c r="A164" t="s">
        <v>153</v>
      </c>
      <c r="C164" s="12">
        <v>78</v>
      </c>
      <c r="D164" t="str">
        <f t="shared" si="2"/>
        <v>Normale</v>
      </c>
    </row>
    <row r="165" spans="1:4" x14ac:dyDescent="0.3">
      <c r="A165" t="s">
        <v>154</v>
      </c>
      <c r="C165" s="12">
        <v>69</v>
      </c>
      <c r="D165" t="str">
        <f t="shared" si="2"/>
        <v>Normale</v>
      </c>
    </row>
    <row r="166" spans="1:4" x14ac:dyDescent="0.3">
      <c r="A166" t="s">
        <v>155</v>
      </c>
      <c r="C166" s="12">
        <v>62</v>
      </c>
      <c r="D166" t="str">
        <f t="shared" si="2"/>
        <v>Normale</v>
      </c>
    </row>
    <row r="167" spans="1:4" x14ac:dyDescent="0.3">
      <c r="A167" t="s">
        <v>156</v>
      </c>
      <c r="C167" s="12">
        <v>64</v>
      </c>
      <c r="D167" t="str">
        <f t="shared" si="2"/>
        <v>Normale</v>
      </c>
    </row>
    <row r="168" spans="1:4" x14ac:dyDescent="0.3">
      <c r="A168" t="s">
        <v>157</v>
      </c>
      <c r="C168" s="12">
        <v>66</v>
      </c>
      <c r="D168" t="str">
        <f t="shared" si="2"/>
        <v>Normale</v>
      </c>
    </row>
    <row r="169" spans="1:4" x14ac:dyDescent="0.3">
      <c r="A169" t="s">
        <v>158</v>
      </c>
      <c r="C169" s="12">
        <v>63</v>
      </c>
      <c r="D169" t="str">
        <f t="shared" si="2"/>
        <v>Normale</v>
      </c>
    </row>
    <row r="170" spans="1:4" x14ac:dyDescent="0.3">
      <c r="A170" t="s">
        <v>159</v>
      </c>
      <c r="C170" s="12">
        <v>38</v>
      </c>
      <c r="D170" t="str">
        <f t="shared" si="2"/>
        <v>Normale</v>
      </c>
    </row>
    <row r="171" spans="1:4" x14ac:dyDescent="0.3">
      <c r="A171" t="s">
        <v>160</v>
      </c>
      <c r="C171" s="12">
        <v>75</v>
      </c>
      <c r="D171" t="str">
        <f t="shared" si="2"/>
        <v>Normale</v>
      </c>
    </row>
    <row r="172" spans="1:4" x14ac:dyDescent="0.3">
      <c r="A172" t="s">
        <v>161</v>
      </c>
      <c r="C172" s="12">
        <v>36</v>
      </c>
      <c r="D172" t="str">
        <f t="shared" si="2"/>
        <v>Normale</v>
      </c>
    </row>
    <row r="173" spans="1:4" x14ac:dyDescent="0.3">
      <c r="A173" t="s">
        <v>162</v>
      </c>
      <c r="C173" s="12">
        <v>98</v>
      </c>
      <c r="D173" t="str">
        <f t="shared" si="2"/>
        <v>Normale</v>
      </c>
    </row>
    <row r="174" spans="1:4" x14ac:dyDescent="0.3">
      <c r="A174" t="s">
        <v>163</v>
      </c>
      <c r="C174" s="12">
        <v>61</v>
      </c>
      <c r="D174" t="str">
        <f t="shared" si="2"/>
        <v>Normale</v>
      </c>
    </row>
    <row r="175" spans="1:4" x14ac:dyDescent="0.3">
      <c r="A175" t="s">
        <v>164</v>
      </c>
      <c r="C175" s="12">
        <v>86</v>
      </c>
      <c r="D175" t="str">
        <f t="shared" si="2"/>
        <v>Normale</v>
      </c>
    </row>
    <row r="176" spans="1:4" x14ac:dyDescent="0.3">
      <c r="A176" t="s">
        <v>165</v>
      </c>
      <c r="C176" s="12">
        <v>31</v>
      </c>
      <c r="D176" t="str">
        <f t="shared" si="2"/>
        <v>Normale</v>
      </c>
    </row>
    <row r="177" spans="1:4" x14ac:dyDescent="0.3">
      <c r="A177" t="s">
        <v>166</v>
      </c>
      <c r="C177" s="12">
        <v>100</v>
      </c>
      <c r="D177" t="str">
        <f t="shared" si="2"/>
        <v>Normale</v>
      </c>
    </row>
    <row r="178" spans="1:4" x14ac:dyDescent="0.3">
      <c r="A178" t="s">
        <v>167</v>
      </c>
      <c r="C178" s="12">
        <v>31</v>
      </c>
      <c r="D178" t="str">
        <f t="shared" si="2"/>
        <v>Normale</v>
      </c>
    </row>
    <row r="179" spans="1:4" x14ac:dyDescent="0.3">
      <c r="A179" t="s">
        <v>168</v>
      </c>
      <c r="C179" s="12">
        <v>94</v>
      </c>
      <c r="D179" t="str">
        <f t="shared" si="2"/>
        <v>Normale</v>
      </c>
    </row>
    <row r="180" spans="1:4" x14ac:dyDescent="0.3">
      <c r="A180" t="s">
        <v>169</v>
      </c>
      <c r="C180" s="12">
        <v>45</v>
      </c>
      <c r="D180" t="str">
        <f t="shared" si="2"/>
        <v>Normale</v>
      </c>
    </row>
    <row r="181" spans="1:4" x14ac:dyDescent="0.3">
      <c r="A181" t="s">
        <v>170</v>
      </c>
      <c r="C181" s="12">
        <v>96</v>
      </c>
      <c r="D181" t="str">
        <f t="shared" si="2"/>
        <v>Normale</v>
      </c>
    </row>
    <row r="182" spans="1:4" x14ac:dyDescent="0.3">
      <c r="A182" t="s">
        <v>171</v>
      </c>
      <c r="C182" s="12">
        <v>104</v>
      </c>
      <c r="D182" t="str">
        <f t="shared" si="2"/>
        <v>Normale</v>
      </c>
    </row>
    <row r="183" spans="1:4" x14ac:dyDescent="0.3">
      <c r="A183" t="s">
        <v>172</v>
      </c>
      <c r="C183" s="12">
        <v>65</v>
      </c>
      <c r="D183" t="str">
        <f t="shared" si="2"/>
        <v>Normale</v>
      </c>
    </row>
    <row r="184" spans="1:4" x14ac:dyDescent="0.3">
      <c r="A184" t="s">
        <v>173</v>
      </c>
      <c r="C184" s="12">
        <v>90</v>
      </c>
      <c r="D184" t="str">
        <f t="shared" si="2"/>
        <v>Normale</v>
      </c>
    </row>
    <row r="185" spans="1:4" x14ac:dyDescent="0.3">
      <c r="A185" t="s">
        <v>174</v>
      </c>
      <c r="C185" s="12">
        <v>102</v>
      </c>
      <c r="D185" t="str">
        <f t="shared" si="2"/>
        <v>Normale</v>
      </c>
    </row>
    <row r="186" spans="1:4" x14ac:dyDescent="0.3">
      <c r="A186" t="s">
        <v>175</v>
      </c>
      <c r="C186" s="12">
        <v>80</v>
      </c>
      <c r="D186" t="str">
        <f t="shared" si="2"/>
        <v>Normale</v>
      </c>
    </row>
    <row r="187" spans="1:4" x14ac:dyDescent="0.3">
      <c r="A187" t="s">
        <v>176</v>
      </c>
      <c r="C187" s="12">
        <v>56</v>
      </c>
      <c r="D187" t="str">
        <f t="shared" si="2"/>
        <v>Normale</v>
      </c>
    </row>
    <row r="188" spans="1:4" x14ac:dyDescent="0.3">
      <c r="A188" t="s">
        <v>177</v>
      </c>
      <c r="C188" s="12">
        <v>87</v>
      </c>
      <c r="D188" t="str">
        <f t="shared" si="2"/>
        <v>Normale</v>
      </c>
    </row>
    <row r="189" spans="1:4" x14ac:dyDescent="0.3">
      <c r="A189" t="s">
        <v>179</v>
      </c>
      <c r="C189" s="12">
        <v>87</v>
      </c>
      <c r="D189" t="str">
        <f t="shared" si="2"/>
        <v>Normale</v>
      </c>
    </row>
    <row r="190" spans="1:4" x14ac:dyDescent="0.3">
      <c r="A190" t="s">
        <v>61</v>
      </c>
      <c r="C190" s="12">
        <v>79</v>
      </c>
      <c r="D190" t="str">
        <f t="shared" si="2"/>
        <v>Normale</v>
      </c>
    </row>
    <row r="191" spans="1:4" x14ac:dyDescent="0.3">
      <c r="A191" t="s">
        <v>180</v>
      </c>
      <c r="C191" s="12">
        <v>76</v>
      </c>
      <c r="D191" t="str">
        <f t="shared" si="2"/>
        <v>Normale</v>
      </c>
    </row>
    <row r="192" spans="1:4" x14ac:dyDescent="0.3">
      <c r="A192" t="s">
        <v>181</v>
      </c>
      <c r="C192" s="12">
        <v>67</v>
      </c>
      <c r="D192" t="str">
        <f t="shared" si="2"/>
        <v>Normale</v>
      </c>
    </row>
    <row r="193" spans="1:4" x14ac:dyDescent="0.3">
      <c r="A193" t="s">
        <v>182</v>
      </c>
      <c r="C193" s="12">
        <v>119</v>
      </c>
      <c r="D193" t="str">
        <f t="shared" si="2"/>
        <v>Normale</v>
      </c>
    </row>
    <row r="194" spans="1:4" x14ac:dyDescent="0.3">
      <c r="A194" t="s">
        <v>183</v>
      </c>
      <c r="C194" s="12">
        <v>82</v>
      </c>
      <c r="D194" t="str">
        <f t="shared" si="2"/>
        <v>Normale</v>
      </c>
    </row>
    <row r="195" spans="1:4" x14ac:dyDescent="0.3">
      <c r="A195" t="s">
        <v>184</v>
      </c>
      <c r="C195" s="12">
        <v>101</v>
      </c>
      <c r="D195" t="str">
        <f t="shared" si="2"/>
        <v>Normale</v>
      </c>
    </row>
    <row r="196" spans="1:4" x14ac:dyDescent="0.3">
      <c r="A196" t="s">
        <v>185</v>
      </c>
      <c r="C196" s="12">
        <v>92</v>
      </c>
      <c r="D196" t="str">
        <f t="shared" si="2"/>
        <v>Normale</v>
      </c>
    </row>
    <row r="197" spans="1:4" x14ac:dyDescent="0.3">
      <c r="A197" t="s">
        <v>186</v>
      </c>
      <c r="C197" s="12">
        <v>52</v>
      </c>
      <c r="D197" t="str">
        <f t="shared" si="2"/>
        <v>Normale</v>
      </c>
    </row>
    <row r="198" spans="1:4" x14ac:dyDescent="0.3">
      <c r="A198" t="s">
        <v>187</v>
      </c>
      <c r="C198" s="12">
        <v>54</v>
      </c>
      <c r="D198" t="str">
        <f t="shared" si="2"/>
        <v>Normale</v>
      </c>
    </row>
    <row r="199" spans="1:4" x14ac:dyDescent="0.3">
      <c r="A199" t="s">
        <v>188</v>
      </c>
      <c r="C199" s="12">
        <v>44</v>
      </c>
      <c r="D199" t="str">
        <f t="shared" si="2"/>
        <v>Normale</v>
      </c>
    </row>
    <row r="200" spans="1:4" x14ac:dyDescent="0.3">
      <c r="A200" t="s">
        <v>189</v>
      </c>
      <c r="C200" s="12">
        <v>34</v>
      </c>
      <c r="D200" t="str">
        <f t="shared" si="2"/>
        <v>Normale</v>
      </c>
    </row>
    <row r="201" spans="1:4" x14ac:dyDescent="0.3">
      <c r="A201" t="s">
        <v>190</v>
      </c>
      <c r="C201" s="12">
        <v>111</v>
      </c>
      <c r="D201" t="str">
        <f t="shared" ref="D201:D264" si="3">IF(OR(C201&lt;$G$24,C201&gt;$G$25),"Outlier","Normale")</f>
        <v>Normale</v>
      </c>
    </row>
    <row r="202" spans="1:4" x14ac:dyDescent="0.3">
      <c r="A202" t="s">
        <v>191</v>
      </c>
      <c r="C202" s="12">
        <v>74</v>
      </c>
      <c r="D202" t="str">
        <f t="shared" si="3"/>
        <v>Normale</v>
      </c>
    </row>
    <row r="203" spans="1:4" x14ac:dyDescent="0.3">
      <c r="A203" t="s">
        <v>178</v>
      </c>
      <c r="C203" s="12">
        <v>85</v>
      </c>
      <c r="D203" t="str">
        <f t="shared" si="3"/>
        <v>Normale</v>
      </c>
    </row>
    <row r="204" spans="1:4" x14ac:dyDescent="0.3">
      <c r="A204" t="s">
        <v>192</v>
      </c>
      <c r="C204" s="12">
        <v>33</v>
      </c>
      <c r="D204" t="str">
        <f t="shared" si="3"/>
        <v>Normale</v>
      </c>
    </row>
    <row r="205" spans="1:4" x14ac:dyDescent="0.3">
      <c r="A205" t="s">
        <v>193</v>
      </c>
      <c r="C205" s="12">
        <v>110</v>
      </c>
      <c r="D205" t="str">
        <f t="shared" si="3"/>
        <v>Normale</v>
      </c>
    </row>
    <row r="206" spans="1:4" x14ac:dyDescent="0.3">
      <c r="A206" t="s">
        <v>194</v>
      </c>
      <c r="C206" s="12">
        <v>71</v>
      </c>
      <c r="D206" t="str">
        <f t="shared" si="3"/>
        <v>Normale</v>
      </c>
    </row>
    <row r="207" spans="1:4" x14ac:dyDescent="0.3">
      <c r="A207" t="s">
        <v>195</v>
      </c>
      <c r="C207" s="12">
        <v>84</v>
      </c>
      <c r="D207" t="str">
        <f t="shared" si="3"/>
        <v>Normale</v>
      </c>
    </row>
    <row r="208" spans="1:4" x14ac:dyDescent="0.3">
      <c r="A208" t="s">
        <v>196</v>
      </c>
      <c r="C208" s="12">
        <v>75</v>
      </c>
      <c r="D208" t="str">
        <f t="shared" si="3"/>
        <v>Normale</v>
      </c>
    </row>
    <row r="209" spans="1:4" x14ac:dyDescent="0.3">
      <c r="A209" t="s">
        <v>197</v>
      </c>
      <c r="C209" s="12">
        <v>109</v>
      </c>
      <c r="D209" t="str">
        <f t="shared" si="3"/>
        <v>Normale</v>
      </c>
    </row>
    <row r="210" spans="1:4" x14ac:dyDescent="0.3">
      <c r="A210" t="s">
        <v>198</v>
      </c>
      <c r="C210" s="12">
        <v>95</v>
      </c>
      <c r="D210" t="str">
        <f t="shared" si="3"/>
        <v>Normale</v>
      </c>
    </row>
    <row r="211" spans="1:4" x14ac:dyDescent="0.3">
      <c r="A211" t="s">
        <v>199</v>
      </c>
      <c r="C211" s="12">
        <v>42</v>
      </c>
      <c r="D211" t="str">
        <f t="shared" si="3"/>
        <v>Normale</v>
      </c>
    </row>
    <row r="212" spans="1:4" x14ac:dyDescent="0.3">
      <c r="A212" t="s">
        <v>201</v>
      </c>
      <c r="C212" s="12">
        <v>106</v>
      </c>
      <c r="D212" t="str">
        <f t="shared" si="3"/>
        <v>Normale</v>
      </c>
    </row>
    <row r="213" spans="1:4" x14ac:dyDescent="0.3">
      <c r="A213" t="s">
        <v>202</v>
      </c>
      <c r="C213" s="12">
        <v>51</v>
      </c>
      <c r="D213" t="str">
        <f t="shared" si="3"/>
        <v>Normale</v>
      </c>
    </row>
    <row r="214" spans="1:4" x14ac:dyDescent="0.3">
      <c r="A214" t="s">
        <v>203</v>
      </c>
      <c r="C214" s="12">
        <v>108</v>
      </c>
      <c r="D214" t="str">
        <f t="shared" si="3"/>
        <v>Normale</v>
      </c>
    </row>
    <row r="215" spans="1:4" x14ac:dyDescent="0.3">
      <c r="A215" t="s">
        <v>204</v>
      </c>
      <c r="C215" s="12">
        <v>47</v>
      </c>
      <c r="D215" t="str">
        <f t="shared" si="3"/>
        <v>Normale</v>
      </c>
    </row>
    <row r="216" spans="1:4" x14ac:dyDescent="0.3">
      <c r="A216" t="s">
        <v>205</v>
      </c>
      <c r="C216" s="12">
        <v>111</v>
      </c>
      <c r="D216" t="str">
        <f t="shared" si="3"/>
        <v>Normale</v>
      </c>
    </row>
    <row r="217" spans="1:4" x14ac:dyDescent="0.3">
      <c r="A217" t="s">
        <v>206</v>
      </c>
      <c r="C217" s="12">
        <v>113</v>
      </c>
      <c r="D217" t="str">
        <f t="shared" si="3"/>
        <v>Normale</v>
      </c>
    </row>
    <row r="218" spans="1:4" x14ac:dyDescent="0.3">
      <c r="A218" t="s">
        <v>207</v>
      </c>
      <c r="C218" s="12">
        <v>81</v>
      </c>
      <c r="D218" t="str">
        <f t="shared" si="3"/>
        <v>Normale</v>
      </c>
    </row>
    <row r="219" spans="1:4" x14ac:dyDescent="0.3">
      <c r="A219" t="s">
        <v>208</v>
      </c>
      <c r="C219" s="12">
        <v>57</v>
      </c>
      <c r="D219" t="str">
        <f t="shared" si="3"/>
        <v>Normale</v>
      </c>
    </row>
    <row r="220" spans="1:4" x14ac:dyDescent="0.3">
      <c r="A220" t="s">
        <v>209</v>
      </c>
      <c r="C220" s="12">
        <v>33</v>
      </c>
      <c r="D220" t="str">
        <f t="shared" si="3"/>
        <v>Normale</v>
      </c>
    </row>
    <row r="221" spans="1:4" x14ac:dyDescent="0.3">
      <c r="A221" t="s">
        <v>210</v>
      </c>
      <c r="C221" s="12">
        <v>62</v>
      </c>
      <c r="D221" t="str">
        <f t="shared" si="3"/>
        <v>Normale</v>
      </c>
    </row>
    <row r="222" spans="1:4" x14ac:dyDescent="0.3">
      <c r="A222" t="s">
        <v>211</v>
      </c>
      <c r="C222" s="12">
        <v>82</v>
      </c>
      <c r="D222" t="str">
        <f t="shared" si="3"/>
        <v>Normale</v>
      </c>
    </row>
    <row r="223" spans="1:4" x14ac:dyDescent="0.3">
      <c r="A223" t="s">
        <v>212</v>
      </c>
      <c r="C223" s="12">
        <v>94</v>
      </c>
      <c r="D223" t="str">
        <f t="shared" si="3"/>
        <v>Normale</v>
      </c>
    </row>
    <row r="224" spans="1:4" x14ac:dyDescent="0.3">
      <c r="A224" t="s">
        <v>213</v>
      </c>
      <c r="C224" s="12">
        <v>109</v>
      </c>
      <c r="D224" t="str">
        <f t="shared" si="3"/>
        <v>Normale</v>
      </c>
    </row>
    <row r="225" spans="1:4" x14ac:dyDescent="0.3">
      <c r="A225" t="s">
        <v>214</v>
      </c>
      <c r="C225" s="12">
        <v>112</v>
      </c>
      <c r="D225" t="str">
        <f t="shared" si="3"/>
        <v>Normale</v>
      </c>
    </row>
    <row r="226" spans="1:4" x14ac:dyDescent="0.3">
      <c r="A226" t="s">
        <v>215</v>
      </c>
      <c r="C226" s="12">
        <v>113</v>
      </c>
      <c r="D226" t="str">
        <f t="shared" si="3"/>
        <v>Normale</v>
      </c>
    </row>
    <row r="227" spans="1:4" x14ac:dyDescent="0.3">
      <c r="A227" t="s">
        <v>216</v>
      </c>
      <c r="C227" s="12">
        <v>78</v>
      </c>
      <c r="D227" t="str">
        <f t="shared" si="3"/>
        <v>Normale</v>
      </c>
    </row>
    <row r="228" spans="1:4" x14ac:dyDescent="0.3">
      <c r="A228" t="s">
        <v>217</v>
      </c>
      <c r="C228" s="12">
        <v>114</v>
      </c>
      <c r="D228" t="str">
        <f t="shared" si="3"/>
        <v>Normale</v>
      </c>
    </row>
    <row r="229" spans="1:4" x14ac:dyDescent="0.3">
      <c r="A229" t="s">
        <v>218</v>
      </c>
      <c r="C229" s="12">
        <v>43</v>
      </c>
      <c r="D229" t="str">
        <f t="shared" si="3"/>
        <v>Normale</v>
      </c>
    </row>
    <row r="230" spans="1:4" x14ac:dyDescent="0.3">
      <c r="A230" t="s">
        <v>219</v>
      </c>
      <c r="C230" s="12">
        <v>80</v>
      </c>
      <c r="D230" t="str">
        <f t="shared" si="3"/>
        <v>Normale</v>
      </c>
    </row>
    <row r="231" spans="1:4" x14ac:dyDescent="0.3">
      <c r="A231" t="s">
        <v>220</v>
      </c>
      <c r="C231" s="12">
        <v>93</v>
      </c>
      <c r="D231" t="str">
        <f t="shared" si="3"/>
        <v>Normale</v>
      </c>
    </row>
    <row r="232" spans="1:4" x14ac:dyDescent="0.3">
      <c r="A232" t="s">
        <v>221</v>
      </c>
      <c r="C232" s="12">
        <v>101</v>
      </c>
      <c r="D232" t="str">
        <f t="shared" si="3"/>
        <v>Normale</v>
      </c>
    </row>
    <row r="233" spans="1:4" x14ac:dyDescent="0.3">
      <c r="A233" t="s">
        <v>222</v>
      </c>
      <c r="C233" s="12">
        <v>68</v>
      </c>
      <c r="D233" t="str">
        <f t="shared" si="3"/>
        <v>Normale</v>
      </c>
    </row>
    <row r="234" spans="1:4" x14ac:dyDescent="0.3">
      <c r="A234" t="s">
        <v>223</v>
      </c>
      <c r="C234" s="12">
        <v>53</v>
      </c>
      <c r="D234" t="str">
        <f t="shared" si="3"/>
        <v>Normale</v>
      </c>
    </row>
    <row r="235" spans="1:4" x14ac:dyDescent="0.3">
      <c r="A235" t="s">
        <v>224</v>
      </c>
      <c r="C235" s="12">
        <v>64</v>
      </c>
      <c r="D235" t="str">
        <f t="shared" si="3"/>
        <v>Normale</v>
      </c>
    </row>
    <row r="236" spans="1:4" x14ac:dyDescent="0.3">
      <c r="A236" t="s">
        <v>225</v>
      </c>
      <c r="C236" s="12">
        <v>90</v>
      </c>
      <c r="D236" t="str">
        <f t="shared" si="3"/>
        <v>Normale</v>
      </c>
    </row>
    <row r="237" spans="1:4" x14ac:dyDescent="0.3">
      <c r="A237" t="s">
        <v>226</v>
      </c>
      <c r="C237" s="12">
        <v>105</v>
      </c>
      <c r="D237" t="str">
        <f t="shared" si="3"/>
        <v>Normale</v>
      </c>
    </row>
    <row r="238" spans="1:4" x14ac:dyDescent="0.3">
      <c r="A238" t="s">
        <v>200</v>
      </c>
      <c r="C238" s="12">
        <v>70</v>
      </c>
      <c r="D238" t="str">
        <f t="shared" si="3"/>
        <v>Normale</v>
      </c>
    </row>
    <row r="239" spans="1:4" x14ac:dyDescent="0.3">
      <c r="A239" t="s">
        <v>227</v>
      </c>
      <c r="C239" s="12">
        <v>74</v>
      </c>
      <c r="D239" t="str">
        <f t="shared" si="3"/>
        <v>Normale</v>
      </c>
    </row>
    <row r="240" spans="1:4" x14ac:dyDescent="0.3">
      <c r="A240" t="s">
        <v>228</v>
      </c>
      <c r="C240" s="12">
        <v>110</v>
      </c>
      <c r="D240" t="str">
        <f t="shared" si="3"/>
        <v>Normale</v>
      </c>
    </row>
    <row r="241" spans="1:4" x14ac:dyDescent="0.3">
      <c r="A241" t="s">
        <v>229</v>
      </c>
      <c r="C241" s="12">
        <v>112</v>
      </c>
      <c r="D241" t="str">
        <f t="shared" si="3"/>
        <v>Normale</v>
      </c>
    </row>
    <row r="242" spans="1:4" x14ac:dyDescent="0.3">
      <c r="A242" t="s">
        <v>230</v>
      </c>
      <c r="C242" s="12">
        <v>54</v>
      </c>
      <c r="D242" t="str">
        <f t="shared" si="3"/>
        <v>Normale</v>
      </c>
    </row>
    <row r="243" spans="1:4" x14ac:dyDescent="0.3">
      <c r="A243" t="s">
        <v>231</v>
      </c>
      <c r="C243" s="12">
        <v>83</v>
      </c>
      <c r="D243" t="str">
        <f t="shared" si="3"/>
        <v>Normale</v>
      </c>
    </row>
    <row r="244" spans="1:4" x14ac:dyDescent="0.3">
      <c r="A244" t="s">
        <v>232</v>
      </c>
      <c r="C244" s="12">
        <v>113</v>
      </c>
      <c r="D244" t="str">
        <f t="shared" si="3"/>
        <v>Normale</v>
      </c>
    </row>
    <row r="245" spans="1:4" x14ac:dyDescent="0.3">
      <c r="A245" t="s">
        <v>233</v>
      </c>
      <c r="C245" s="12">
        <v>50</v>
      </c>
      <c r="D245" t="str">
        <f t="shared" si="3"/>
        <v>Normale</v>
      </c>
    </row>
  </sheetData>
  <phoneticPr fontId="2" type="noConversion"/>
  <pageMargins left="0.7" right="0.7" top="0.75" bottom="0.75" header="0.3" footer="0.3"/>
  <ignoredErrors>
    <ignoredError sqref="G49" formulaRange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DF58C-92A1-4095-83D7-BFEECEF8ED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Strutture ricettive</vt:lpstr>
      <vt:lpstr>prezzi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2026-07-27T16:42:50Z</dcterms:modified>
</cp:coreProperties>
</file>